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9009fbd1b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YP Gantt" sheetId="1" r:id="R52a8121d576943e2"/>
  </x:sheets>
</x:workbook>
</file>

<file path=xl/sharedStrings.xml><?xml version="1.0" encoding="utf-8"?>
<x:sst xmlns:x="http://schemas.openxmlformats.org/spreadsheetml/2006/main">
  <x:si>
    <x:t xml:space="preserve">HELP University ANPR Parking System Gantt Chart</x:t>
  </x:si>
  <x:si>
    <x:t xml:space="preserve">Proposed schedule: September 2026 to April 2027. Intermediate dates are planning estimates, not confirmed deadlines.</x:t>
  </x:si>
  <x:si>
    <x:t xml:space="preserve">Edit amber cells: task details, start/end dates, type and progress. Duration, date checks and weekly bars update automatically.</x:t>
  </x:si>
  <x:si>
    <x:t xml:space="preserve">Progress is blank until entered. Green = planned work; purple M = milestone. Each column represents a Monday–Sunday week.</x:t>
  </x:si>
  <x:si>
    <x:t xml:space="preserve">Timeline starts (Monday)</x:t>
  </x:si>
  <x:si>
    <x:t xml:space="preserve">34 weeks shown; change D6 to move the timeline. Dates do not automatically reschedule dependent tasks.</x:t>
  </x:si>
  <x:si>
    <x:t xml:space="preserve">ID</x:t>
  </x:si>
  <x:si>
    <x:t xml:space="preserve">Phase</x:t>
  </x:si>
  <x:si>
    <x:t xml:space="preserve">Task / deliverable</x:t>
  </x:si>
  <x:si>
    <x:t xml:space="preserve">Start</x:t>
  </x:si>
  <x:si>
    <x:t xml:space="preserve">Finish</x:t>
  </x:si>
  <x:si>
    <x:t xml:space="preserve">Days</x:t>
  </x:si>
  <x:si>
    <x:t xml:space="preserve">Type</x:t>
  </x:si>
  <x:si>
    <x:t xml:space="preserve">Progress</x:t>
  </x:si>
  <x:si>
    <x:t xml:space="preserve">Date check</x:t>
  </x:si>
  <x:si>
    <x:t xml:space="preserve">Schedule basis</x:t>
  </x:si>
  <x:si>
    <x:t xml:space="preserve">Assignment deadline: 5 October 2026. Objective milestones: design November 2026, AI February 2027, integration March 2027, testing April 2027.</x:t>
  </x:si>
  <x:si>
    <x:t xml:space="preserve">Planning assumptions</x:t>
  </x:si>
  <x:si>
    <x:t xml:space="preserve">Data and model</x:t>
  </x:si>
  <x:si>
    <x:t xml:space="preserve">Model training depends on partner weights/code and usable Malaysian images. Keep the evaluation set separate from training and tuning.</x:t>
  </x:si>
  <x:si>
    <x:t xml:space="preserve">Dependencies</x:t>
  </x:si>
  <x:si>
    <x:t xml:space="preserve">Testing targets</x:t>
  </x:si>
  <x:si>
    <x:t xml:space="preserve">Proposed: 90% complete-plate accuracy, response time below 3 seconds, and 95% operational reliability. Agree measurement definitions with the supervisor.</x:t>
  </x:si>
  <x:si>
    <x:t xml:space="preserve">Editing</x:t>
  </x:si>
  <x:si>
    <x:t xml:space="preserve">Use real Excel dates in Start and Finish. Set milestones to the same start/end date. Days are inclusive calendar days; milestones have zero duration.</x:t>
  </x:si>
  <x:si>
    <x:t xml:space="preserve">Enter 0%–100% yourself. It is a tracking field only; green bars show the planned schedule, not actual completion.</x:t>
  </x:si>
  <x:si>
    <x:t xml:space="preserve">More tasks</x:t>
  </x:si>
  <x:si>
    <x:t xml:space="preserve">Insert and copy a complete task row within the schedule to preserve formulas and formatting, then change its ID, details and dates.</x:t>
  </x:si>
  <x:si>
    <x:t xml:space="preserve">Source</x:t>
  </x:si>
  <x:si>
    <x:t xml:space="preserve">Project proposal and objectives supplied in this conversation. All detailed task dates are suggested planning allocations.</x:t>
  </x:si>
</x:sst>
</file>

<file path=xl/styles.xml><?xml version="1.0" encoding="utf-8"?>
<x:styleSheet xmlns:x="http://schemas.openxmlformats.org/spreadsheetml/2006/main">
  <x:numFmts count="4">
    <x:numFmt numFmtId="164" formatCode="dd\ mmm\ yy"/>
    <x:numFmt numFmtId="165" formatCode="dd\ mmm"/>
    <x:numFmt numFmtId="166" formatCode=";;;@"/>
    <x:numFmt numFmtId="200" formatCode="dd mmm yy"/>
  </x:numFmts>
  <x:fonts count="8">
    <x:font>
      <x:sz val="11"/>
      <x:name val="Carlito"/>
    </x:font>
    <x:font>
      <x:sz val="10"/>
      <x:color rgb="FF26392E"/>
      <x:name val="Arial"/>
    </x:font>
    <x:font>
      <x:b/>
      <x:sz val="16"/>
      <x:color rgb="FF203D2C"/>
      <x:name val="Arial"/>
    </x:font>
    <x:font>
      <x:b/>
      <x:sz val="10"/>
      <x:color rgb="FFFFFFFF"/>
      <x:name val="Arial"/>
    </x:font>
    <x:font>
      <x:b/>
      <x:sz val="10"/>
      <x:color rgb="FF244C3C"/>
      <x:name val="Arial"/>
    </x:font>
    <x:font>
      <x:b/>
      <x:sz val="10"/>
      <x:color rgb="FF674486"/>
      <x:name val="Arial"/>
    </x:font>
    <x:font>
      <x:b/>
      <x:sz val="10"/>
      <x:color rgb="FF26392E"/>
      <x:name val="Arial"/>
    </x:font>
    <x:font>
      <x:sz val="10"/>
      <x:color rgb="FF26392E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44C3C"/>
      </x:patternFill>
    </x:fill>
    <x:fill>
      <x:patternFill patternType="solid">
        <x:fgColor rgb="FFFFF7E3"/>
      </x:patternFill>
    </x:fill>
    <x:fill>
      <x:patternFill patternType="solid">
        <x:fgColor rgb="FFDBE8F3"/>
      </x:patternFill>
    </x:fill>
    <x:fill>
      <x:patternFill patternType="solid">
        <x:fgColor rgb="FFE9E5F3"/>
      </x:patternFill>
    </x:fill>
    <x:fill>
      <x:patternFill patternType="solid">
        <x:fgColor rgb="FFE1EFD9"/>
      </x:patternFill>
    </x:fill>
    <x:fill>
      <x:patternFill patternType="solid">
        <x:fgColor rgb="FFFBEACF"/>
      </x:patternFill>
    </x:fill>
    <x:fill>
      <x:patternFill patternType="solid">
        <x:fgColor rgb="FFF4DEDA"/>
      </x:patternFill>
    </x:fill>
    <x:fill>
      <x:patternFill patternType="solid">
        <x:fgColor rgb="FFE4E8EA"/>
      </x:patternFill>
    </x:fill>
    <x:fill>
      <x:patternFill patternType="solid">
        <x:fgColor rgb="FFDBE8F3"/>
      </x:patternFill>
    </x:fill>
    <x:fill>
      <x:patternFill patternType="solid">
        <x:fgColor rgb="FFE9E5F3"/>
      </x:patternFill>
    </x:fill>
    <x:fill>
      <x:patternFill patternType="solid">
        <x:fgColor rgb="FFFBEACF"/>
      </x:patternFill>
    </x:fill>
    <x:fill>
      <x:patternFill patternType="solid">
        <x:fgColor rgb="FFE1EFD9"/>
      </x:patternFill>
    </x:fill>
    <x:fill>
      <x:patternFill patternType="solid">
        <x:fgColor rgb="FFF4DEDA"/>
      </x:patternFill>
    </x:fill>
    <x:fill>
      <x:patternFill patternType="solid">
        <x:fgColor rgb="FFE4E8EA"/>
      </x:patternFill>
    </x:fill>
    <x:fill>
      <x:patternFill patternType="solid">
        <x:fgColor rgb="FFFFF1CC"/>
      </x:patternFill>
    </x:fill>
  </x:fills>
  <x:borders count="2">
    <x:border/>
    <x:border>
      <x:top style="thin">
        <x:color rgb="FFAAB9AE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0" fontId="3" fillId="3" borderId="0" xfId="0" applyFont="1" applyFill="1" applyAlignment="1">
      <x:alignment horizontal="center" vertical="center"/>
    </x:xf>
    <x:xf numFmtId="165" fontId="3" fillId="3" borderId="0" xfId="0" applyNumberFormat="1" applyFont="1" applyFill="1" applyAlignment="1">
      <x:alignment horizontal="center" vertical="center"/>
    </x:xf>
    <x:xf numFmtId="0" fontId="4" fillId="0" borderId="0" xfId="0" applyFont="1" applyAlignment="1">
      <x:alignment vertical="center"/>
    </x:xf>
    <x:xf numFmtId="0" fontId="1" fillId="4" borderId="0" xfId="0" applyFont="1" applyFill="1" applyAlignment="1">
      <x:alignment vertical="center"/>
    </x:xf>
    <x:xf numFmtId="0" fontId="1" fillId="5" borderId="0" xfId="0" applyFont="1" applyFill="1" applyAlignment="1">
      <x:alignment vertical="center"/>
    </x:xf>
    <x:xf numFmtId="0" fontId="1" fillId="4" borderId="0" xfId="0" applyFont="1" applyFill="1" applyAlignment="1">
      <x:alignment vertical="center" wrapText="1"/>
    </x:xf>
    <x:xf numFmtId="164" fontId="1" fillId="4" borderId="0" xfId="0" applyNumberFormat="1" applyFont="1" applyFill="1" applyAlignment="1">
      <x:alignment vertical="center"/>
    </x:xf>
    <x:xf numFmtId="9" fontId="1" fillId="4" borderId="0" xfId="0" applyNumberFormat="1" applyFont="1" applyFill="1" applyAlignment="1">
      <x:alignment vertical="center"/>
    </x:xf>
    <x:xf numFmtId="0" fontId="1" fillId="5" borderId="1" xfId="0" applyFont="1" applyFill="1" applyBorder="1" applyAlignment="1">
      <x:alignment vertical="center"/>
    </x:xf>
    <x:xf numFmtId="0" fontId="1" fillId="4" borderId="1" xfId="0" applyFont="1" applyFill="1" applyBorder="1" applyAlignment="1">
      <x:alignment vertical="center" wrapText="1"/>
    </x:xf>
    <x:xf numFmtId="164" fontId="1" fillId="4" borderId="1" xfId="0" applyNumberFormat="1" applyFont="1" applyFill="1" applyBorder="1" applyAlignment="1">
      <x:alignment vertical="center"/>
    </x:xf>
    <x:xf numFmtId="0" fontId="1" fillId="0" borderId="1" xfId="0" applyFont="1" applyBorder="1" applyAlignment="1">
      <x:alignment vertical="center"/>
    </x:xf>
    <x:xf numFmtId="0" fontId="1" fillId="4" borderId="1" xfId="0" applyFont="1" applyFill="1" applyBorder="1" applyAlignment="1">
      <x:alignment vertical="center"/>
    </x:xf>
    <x:xf numFmtId="9" fontId="1" fillId="4" borderId="1" xfId="0" applyNumberFormat="1" applyFont="1" applyFill="1" applyBorder="1" applyAlignment="1">
      <x:alignment vertical="center"/>
    </x:xf>
    <x:xf numFmtId="0" fontId="5" fillId="4" borderId="0" xfId="0" applyFont="1" applyFill="1" applyAlignment="1">
      <x:alignment vertical="center" wrapText="1"/>
    </x:xf>
    <x:xf numFmtId="0" fontId="1" fillId="6" borderId="0" xfId="0" applyFont="1" applyFill="1" applyAlignment="1">
      <x:alignment vertical="center"/>
    </x:xf>
    <x:xf numFmtId="0" fontId="1" fillId="6" borderId="1" xfId="0" applyFont="1" applyFill="1" applyBorder="1" applyAlignment="1">
      <x:alignment vertical="center"/>
    </x:xf>
    <x:xf numFmtId="0" fontId="1" fillId="7" borderId="0" xfId="0" applyFont="1" applyFill="1" applyAlignment="1">
      <x:alignment vertical="center"/>
    </x:xf>
    <x:xf numFmtId="0" fontId="1" fillId="7" borderId="1" xfId="0" applyFont="1" applyFill="1" applyBorder="1" applyAlignment="1">
      <x:alignment vertical="center"/>
    </x:xf>
    <x:xf numFmtId="0" fontId="1" fillId="8" borderId="0" xfId="0" applyFont="1" applyFill="1" applyAlignment="1">
      <x:alignment vertical="center"/>
    </x:xf>
    <x:xf numFmtId="0" fontId="1" fillId="8" borderId="1" xfId="0" applyFont="1" applyFill="1" applyBorder="1" applyAlignment="1">
      <x:alignment vertical="center"/>
    </x:xf>
    <x:xf numFmtId="0" fontId="1" fillId="9" borderId="0" xfId="0" applyFont="1" applyFill="1" applyAlignment="1">
      <x:alignment vertical="center"/>
    </x:xf>
    <x:xf numFmtId="0" fontId="1" fillId="9" borderId="1" xfId="0" applyFont="1" applyFill="1" applyBorder="1" applyAlignment="1">
      <x:alignment vertical="center"/>
    </x:xf>
    <x:xf numFmtId="0" fontId="1" fillId="10" borderId="0" xfId="0" applyFont="1" applyFill="1" applyAlignment="1">
      <x:alignment vertical="center"/>
    </x:xf>
    <x:xf numFmtId="0" fontId="1" fillId="10" borderId="1" xfId="0" applyFont="1" applyFill="1" applyBorder="1" applyAlignment="1">
      <x:alignment vertical="center"/>
    </x:xf>
    <x:xf numFmtId="166" fontId="1" fillId="0" borderId="1" xfId="0" applyNumberFormat="1" applyFont="1" applyBorder="1" applyAlignment="1">
      <x:alignment horizontal="center" vertical="center"/>
    </x:xf>
    <x:xf numFmtId="166" fontId="1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1" fillId="11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" fillId="13" borderId="1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1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" fillId="15" borderId="1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" fillId="16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17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FFFFFF"/>
      </x:font>
      <x:fill>
        <x:patternFill>
          <x:bgColor rgb="FF76568F"/>
        </x:patternFill>
      </x:fill>
    </x:dxf>
    <x:dxf>
      <x:fill>
        <x:patternFill>
          <x:bgColor rgb="FF6F9C7F"/>
        </x:patternFill>
      </x:fill>
    </x:dxf>
    <x:dxf>
      <x:font>
        <x:b/>
        <x:color rgb="FFA43529"/>
      </x:font>
      <x:fill>
        <x:patternFill>
          <x:bgColor rgb="FFFCE6E0"/>
        </x:patternFill>
      </x:fill>
    </x:dxf>
    <x:dxf>
      <x:font>
        <x:b/>
        <x:color rgb="FFFFFFFF"/>
      </x:font>
      <x:fill>
        <x:patternFill>
          <x:bgColor rgb="FFB83B35"/>
        </x:patternFill>
      </x:fill>
    </x:dxf>
    <x:dxf>
      <x:border>
        <x:left style="medium">
          <x:color rgb="FFB83B35"/>
        </x:left>
        <x:right style="medium">
          <x:color rgb="FFB83B35"/>
        </x:right>
      </x:border>
    </x:dxf>
    <x:dxf>
      <x:font>
        <x:b/>
        <x:color rgb="FFFFFFFF"/>
      </x:font>
      <x:fill>
        <x:patternFill>
          <x:bgColor rgb="FFB83B3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2c9b7d7fc405e" /><Relationship Type="http://schemas.openxmlformats.org/officeDocument/2006/relationships/theme" Target="/xl/theme/theme1.xml" Id="Ref9c29152b9f487d" /><Relationship Type="http://schemas.openxmlformats.org/officeDocument/2006/relationships/sharedStrings" Target="/xl/sharedStrings.xml" Id="R5de56b85135e4955" /><Relationship Type="http://schemas.openxmlformats.org/officeDocument/2006/relationships/worksheet" Target="/xl/worksheets/sheet1.xml" Id="R52a8121d5769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C3C"/>
  </x:sheetPr>
  <x:sheetViews>
    <x:sheetView showGridLines="0" workbookViewId="0">
      <x:pane xSplit="3" ySplit="9" topLeftCell="D10" activePane="bottomRight" state="frozen"/>
    </x:sheetView>
  </x:sheetViews>
  <x:sheetFormatPr defaultRowHeight="14.399999618530273"/>
  <x:cols>
    <x:col min="1" max="1" width="5.5" hidden="0" customWidth="1"/>
    <x:col min="2" max="2" width="14.380000114440918" hidden="0" customWidth="1"/>
    <x:col min="3" max="3" width="43.130001068115234" hidden="0" customWidth="1"/>
    <x:col min="4" max="5" width="9.44140625" customWidth="1"/>
    <x:col min="6" max="6" width="8.130000114440918" hidden="0" customWidth="1"/>
    <x:col min="7" max="7" width="10.380000114440918" hidden="0" customWidth="1"/>
    <x:col min="8" max="8" width="10.880000114440918" hidden="0" customWidth="1"/>
    <x:col min="9" max="9" width="16.25" hidden="0" customWidth="1"/>
    <x:col min="10" max="13" width="6.88671875" customWidth="1"/>
    <x:col min="14" max="17" width="6.6640625" customWidth="1"/>
    <x:col min="18" max="22" width="7" customWidth="1"/>
    <x:col min="23" max="26" width="6.88671875" customWidth="1"/>
    <x:col min="27" max="30" width="6.6640625" customWidth="1"/>
    <x:col min="31" max="39" width="6.77734375" customWidth="1"/>
    <x:col min="40" max="43" width="6.6640625" customWidth="1"/>
    <x:col min="4" max="4" width="11.25" hidden="0" customWidth="1"/>
    <x:col min="5" max="5" width="11.25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</x:cols>
  <x:sheetData>
    <x:row r="1" ht="25.049999237060547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</x:row>
    <x:row r="2" ht="31.950000762939453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</x:row>
    <x:row r="3" ht="25.049999237060547" customHeight="1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</x:row>
    <x:row r="4" ht="25.049999237060547" customHeight="1">
      <x:c r="A4" s="1" t="s">
        <x:v>2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</x:row>
    <x:row r="5" ht="25.049999237060547" customHeight="1">
      <x:c r="A5" s="1" t="s">
        <x:v>3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</x:row>
    <x:row r="6" ht="25.049999237060547" customHeight="1">
      <x:c r="A6" s="1" t="s">
        <x:v>4</x:v>
      </x:c>
      <x:c r="B6" s="1"/>
      <x:c r="C6" s="1"/>
      <x:c r="D6" s="3">
        <x:v>46272</x:v>
      </x:c>
      <x:c r="E6" s="1"/>
      <x:c r="F6" s="1" t="s">
        <x:v>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</x:row>
    <x:row r="7" ht="25.049999237060547" customHeight="1">
      <x:c r="A7" s="1" t="str">
        <x:v>Status date (editable)</x:v>
      </x:c>
      <x:c r="B7" s="1"/>
      <x:c r="C7" s="1"/>
      <x:c r="D7" s="49" t="n">
        <x:v>46292</x:v>
      </x:c>
      <x:c r="E7" s="1"/>
      <x:c r="F7" s="1" t="str">
        <x:v>Red NOW marks the current week. Change D7 to update the marker.</x:v>
      </x:c>
      <x:c r="G7" s="1"/>
      <x:c r="H7" s="1"/>
      <x:c r="I7" s="1"/>
      <x:c r="J7" s="50" t="str">
        <x:f>IF(AND($D$7&gt;=J$9,$D$7&lt;J$9+7),"NOW","")</x:f>
      </x:c>
      <x:c r="K7" s="50" t="str">
        <x:f>IF(AND($D$7&gt;=K$9,$D$7&lt;K$9+7),"NOW","")</x:f>
      </x:c>
      <x:c r="L7" s="50" t="str">
        <x:f>IF(AND($D$7&gt;=L$9,$D$7&lt;L$9+7),"NOW","")</x:f>
        <x:v>NOW</x:v>
      </x:c>
      <x:c r="M7" s="50" t="str">
        <x:f>IF(AND($D$7&gt;=M$9,$D$7&lt;M$9+7),"NOW","")</x:f>
      </x:c>
      <x:c r="N7" s="50" t="str">
        <x:f>IF(AND($D$7&gt;=N$9,$D$7&lt;N$9+7),"NOW","")</x:f>
      </x:c>
      <x:c r="O7" s="50" t="str">
        <x:f>IF(AND($D$7&gt;=O$9,$D$7&lt;O$9+7),"NOW","")</x:f>
      </x:c>
      <x:c r="P7" s="50" t="str">
        <x:f>IF(AND($D$7&gt;=P$9,$D$7&lt;P$9+7),"NOW","")</x:f>
      </x:c>
      <x:c r="Q7" s="50" t="str">
        <x:f>IF(AND($D$7&gt;=Q$9,$D$7&lt;Q$9+7),"NOW","")</x:f>
      </x:c>
      <x:c r="R7" s="50" t="str">
        <x:f>IF(AND($D$7&gt;=R$9,$D$7&lt;R$9+7),"NOW","")</x:f>
      </x:c>
      <x:c r="S7" s="50" t="str">
        <x:f>IF(AND($D$7&gt;=S$9,$D$7&lt;S$9+7),"NOW","")</x:f>
      </x:c>
      <x:c r="T7" s="50" t="str">
        <x:f>IF(AND($D$7&gt;=T$9,$D$7&lt;T$9+7),"NOW","")</x:f>
      </x:c>
      <x:c r="U7" s="50" t="str">
        <x:f>IF(AND($D$7&gt;=U$9,$D$7&lt;U$9+7),"NOW","")</x:f>
      </x:c>
      <x:c r="V7" s="50" t="str">
        <x:f>IF(AND($D$7&gt;=V$9,$D$7&lt;V$9+7),"NOW","")</x:f>
      </x:c>
      <x:c r="W7" s="50" t="str">
        <x:f>IF(AND($D$7&gt;=W$9,$D$7&lt;W$9+7),"NOW","")</x:f>
      </x:c>
      <x:c r="X7" s="50" t="str">
        <x:f>IF(AND($D$7&gt;=X$9,$D$7&lt;X$9+7),"NOW","")</x:f>
      </x:c>
      <x:c r="Y7" s="50" t="str">
        <x:f>IF(AND($D$7&gt;=Y$9,$D$7&lt;Y$9+7),"NOW","")</x:f>
      </x:c>
      <x:c r="Z7" s="50" t="str">
        <x:f>IF(AND($D$7&gt;=Z$9,$D$7&lt;Z$9+7),"NOW","")</x:f>
      </x:c>
      <x:c r="AA7" s="50" t="str">
        <x:f>IF(AND($D$7&gt;=AA$9,$D$7&lt;AA$9+7),"NOW","")</x:f>
      </x:c>
      <x:c r="AB7" s="50" t="str">
        <x:f>IF(AND($D$7&gt;=AB$9,$D$7&lt;AB$9+7),"NOW","")</x:f>
      </x:c>
      <x:c r="AC7" s="50" t="str">
        <x:f>IF(AND($D$7&gt;=AC$9,$D$7&lt;AC$9+7),"NOW","")</x:f>
      </x:c>
      <x:c r="AD7" s="50" t="str">
        <x:f>IF(AND($D$7&gt;=AD$9,$D$7&lt;AD$9+7),"NOW","")</x:f>
      </x:c>
      <x:c r="AE7" s="50" t="str">
        <x:f>IF(AND($D$7&gt;=AE$9,$D$7&lt;AE$9+7),"NOW","")</x:f>
      </x:c>
      <x:c r="AF7" s="50" t="str">
        <x:f>IF(AND($D$7&gt;=AF$9,$D$7&lt;AF$9+7),"NOW","")</x:f>
      </x:c>
      <x:c r="AG7" s="50" t="str">
        <x:f>IF(AND($D$7&gt;=AG$9,$D$7&lt;AG$9+7),"NOW","")</x:f>
      </x:c>
      <x:c r="AH7" s="50" t="str">
        <x:f>IF(AND($D$7&gt;=AH$9,$D$7&lt;AH$9+7),"NOW","")</x:f>
      </x:c>
      <x:c r="AI7" s="50" t="str">
        <x:f>IF(AND($D$7&gt;=AI$9,$D$7&lt;AI$9+7),"NOW","")</x:f>
      </x:c>
      <x:c r="AJ7" s="50" t="str">
        <x:f>IF(AND($D$7&gt;=AJ$9,$D$7&lt;AJ$9+7),"NOW","")</x:f>
      </x:c>
      <x:c r="AK7" s="50" t="str">
        <x:f>IF(AND($D$7&gt;=AK$9,$D$7&lt;AK$9+7),"NOW","")</x:f>
      </x:c>
      <x:c r="AL7" s="50" t="str">
        <x:f>IF(AND($D$7&gt;=AL$9,$D$7&lt;AL$9+7),"NOW","")</x:f>
      </x:c>
      <x:c r="AM7" s="50" t="str">
        <x:f>IF(AND($D$7&gt;=AM$9,$D$7&lt;AM$9+7),"NOW","")</x:f>
      </x:c>
      <x:c r="AN7" s="50" t="str">
        <x:f>IF(AND($D$7&gt;=AN$9,$D$7&lt;AN$9+7),"NOW","")</x:f>
      </x:c>
      <x:c r="AO7" s="50" t="str">
        <x:f>IF(AND($D$7&gt;=AO$9,$D$7&lt;AO$9+7),"NOW","")</x:f>
      </x:c>
      <x:c r="AP7" s="50" t="str">
        <x:f>IF(AND($D$7&gt;=AP$9,$D$7&lt;AP$9+7),"NOW","")</x:f>
      </x:c>
      <x:c r="AQ7" s="50" t="str">
        <x:f>IF(AND($D$7&gt;=AQ$9,$D$7&lt;AQ$9+7),"NOW","")</x:f>
      </x:c>
    </x:row>
    <x:row r="8" ht="25.049999237060547" customHeight="1">
      <x:c r="A8" s="1"/>
      <x:c r="B8" s="1"/>
      <x:c r="C8" s="1"/>
      <x:c r="D8" s="1"/>
      <x:c r="E8" s="1"/>
      <x:c r="F8" s="1"/>
      <x:c r="G8" s="1"/>
      <x:c r="H8" s="1"/>
      <x:c r="I8" s="1"/>
      <x:c r="J8" s="6" t="str">
        <x:f>TEXT(J9,"mmm yy")</x:f>
        <x:v>Sep 26</x:v>
      </x:c>
      <x:c r="K8" s="1"/>
      <x:c r="L8" s="1"/>
      <x:c r="M8" s="1"/>
      <x:c r="N8" s="6" t="str">
        <x:f>TEXT(N9,"mmm yy")</x:f>
        <x:v>Oct 26</x:v>
      </x:c>
      <x:c r="O8" s="1"/>
      <x:c r="P8" s="1"/>
      <x:c r="Q8" s="1"/>
      <x:c r="R8" s="6" t="str">
        <x:f>TEXT(R9,"mmm yy")</x:f>
        <x:v>Nov 26</x:v>
      </x:c>
      <x:c r="S8" s="1"/>
      <x:c r="T8" s="1"/>
      <x:c r="U8" s="1"/>
      <x:c r="V8" s="1"/>
      <x:c r="W8" s="6" t="str">
        <x:f>TEXT(W9,"mmm yy")</x:f>
        <x:v>Dec 26</x:v>
      </x:c>
      <x:c r="X8" s="1"/>
      <x:c r="Y8" s="1"/>
      <x:c r="Z8" s="1"/>
      <x:c r="AA8" s="6" t="str">
        <x:f>TEXT(AA9,"mmm yy")</x:f>
        <x:v>Jan 27</x:v>
      </x:c>
      <x:c r="AB8" s="1"/>
      <x:c r="AC8" s="1"/>
      <x:c r="AD8" s="1"/>
      <x:c r="AE8" s="6" t="str">
        <x:f>TEXT(AE9,"mmm yy")</x:f>
        <x:v>Feb 27</x:v>
      </x:c>
      <x:c r="AF8" s="1"/>
      <x:c r="AG8" s="1"/>
      <x:c r="AH8" s="1"/>
      <x:c r="AI8" s="6" t="str">
        <x:f>TEXT(AI9,"mmm yy")</x:f>
        <x:v>Mar 27</x:v>
      </x:c>
      <x:c r="AJ8" s="1"/>
      <x:c r="AK8" s="1"/>
      <x:c r="AL8" s="1"/>
      <x:c r="AM8" s="1"/>
      <x:c r="AN8" s="6" t="str">
        <x:f>TEXT(AN9,"mmm yy")</x:f>
        <x:v>Apr 27</x:v>
      </x:c>
      <x:c r="AO8" s="1"/>
      <x:c r="AP8" s="1"/>
      <x:c r="AQ8" s="1"/>
    </x:row>
    <x:row r="9" ht="34.95000076293945" customHeight="1">
      <x:c r="A9" s="4" t="s">
        <x:v>6</x:v>
      </x:c>
      <x:c r="B9" s="4" t="s">
        <x:v>7</x:v>
      </x:c>
      <x:c r="C9" s="4" t="s">
        <x:v>8</x:v>
      </x:c>
      <x:c r="D9" s="4" t="s">
        <x:v>9</x:v>
      </x:c>
      <x:c r="E9" s="4" t="s">
        <x:v>10</x:v>
      </x:c>
      <x:c r="F9" s="4" t="s">
        <x:v>11</x:v>
      </x:c>
      <x:c r="G9" s="4" t="s">
        <x:v>12</x:v>
      </x:c>
      <x:c r="H9" s="4" t="s">
        <x:v>13</x:v>
      </x:c>
      <x:c r="I9" s="4" t="s">
        <x:v>14</x:v>
      </x:c>
      <x:c r="J9" s="5" t="n">
        <x:f>$D$6</x:f>
        <x:v>46272</x:v>
      </x:c>
      <x:c r="K9" s="5" t="n">
        <x:f t="shared" ref="K9:AQ9" si="0">J9+7</x:f>
        <x:v>46279</x:v>
      </x:c>
      <x:c r="L9" s="5">
        <x:f t="shared" si="0"/>
        <x:v>46286</x:v>
      </x:c>
      <x:c r="M9" s="5">
        <x:f t="shared" si="0"/>
        <x:v>46293</x:v>
      </x:c>
      <x:c r="N9" s="5">
        <x:f t="shared" si="0"/>
        <x:v>46300</x:v>
      </x:c>
      <x:c r="O9" s="5">
        <x:f t="shared" si="0"/>
        <x:v>46307</x:v>
      </x:c>
      <x:c r="P9" s="5">
        <x:f t="shared" si="0"/>
        <x:v>46314</x:v>
      </x:c>
      <x:c r="Q9" s="5">
        <x:f t="shared" si="0"/>
        <x:v>46321</x:v>
      </x:c>
      <x:c r="R9" s="5">
        <x:f t="shared" si="0"/>
        <x:v>46328</x:v>
      </x:c>
      <x:c r="S9" s="5">
        <x:f t="shared" si="0"/>
        <x:v>46335</x:v>
      </x:c>
      <x:c r="T9" s="5">
        <x:f t="shared" si="0"/>
        <x:v>46342</x:v>
      </x:c>
      <x:c r="U9" s="5">
        <x:f t="shared" si="0"/>
        <x:v>46349</x:v>
      </x:c>
      <x:c r="V9" s="5">
        <x:f t="shared" si="0"/>
        <x:v>46356</x:v>
      </x:c>
      <x:c r="W9" s="5">
        <x:f t="shared" si="0"/>
        <x:v>46363</x:v>
      </x:c>
      <x:c r="X9" s="5">
        <x:f t="shared" si="0"/>
        <x:v>46370</x:v>
      </x:c>
      <x:c r="Y9" s="5">
        <x:f t="shared" si="0"/>
        <x:v>46377</x:v>
      </x:c>
      <x:c r="Z9" s="5">
        <x:f t="shared" si="0"/>
        <x:v>46384</x:v>
      </x:c>
      <x:c r="AA9" s="5">
        <x:f t="shared" si="0"/>
        <x:v>46391</x:v>
      </x:c>
      <x:c r="AB9" s="5">
        <x:f t="shared" si="0"/>
        <x:v>46398</x:v>
      </x:c>
      <x:c r="AC9" s="5">
        <x:f t="shared" si="0"/>
        <x:v>46405</x:v>
      </x:c>
      <x:c r="AD9" s="5">
        <x:f t="shared" si="0"/>
        <x:v>46412</x:v>
      </x:c>
      <x:c r="AE9" s="5">
        <x:f t="shared" si="0"/>
        <x:v>46419</x:v>
      </x:c>
      <x:c r="AF9" s="5">
        <x:f t="shared" si="0"/>
        <x:v>46426</x:v>
      </x:c>
      <x:c r="AG9" s="5">
        <x:f t="shared" si="0"/>
        <x:v>46433</x:v>
      </x:c>
      <x:c r="AH9" s="5">
        <x:f t="shared" si="0"/>
        <x:v>46440</x:v>
      </x:c>
      <x:c r="AI9" s="5">
        <x:f t="shared" si="0"/>
        <x:v>46447</x:v>
      </x:c>
      <x:c r="AJ9" s="5">
        <x:f t="shared" si="0"/>
        <x:v>46454</x:v>
      </x:c>
      <x:c r="AK9" s="5">
        <x:f t="shared" si="0"/>
        <x:v>46461</x:v>
      </x:c>
      <x:c r="AL9" s="5">
        <x:f t="shared" si="0"/>
        <x:v>46468</x:v>
      </x:c>
      <x:c r="AM9" s="5">
        <x:f t="shared" si="0"/>
        <x:v>46475</x:v>
      </x:c>
      <x:c r="AN9" s="5">
        <x:f t="shared" si="0"/>
        <x:v>46482</x:v>
      </x:c>
      <x:c r="AO9" s="5">
        <x:f t="shared" si="0"/>
        <x:v>46489</x:v>
      </x:c>
      <x:c r="AP9" s="5">
        <x:f t="shared" si="0"/>
        <x:v>46496</x:v>
      </x:c>
      <x:c r="AQ9" s="5">
        <x:f t="shared" si="0"/>
        <x:v>46503</x:v>
      </x:c>
    </x:row>
    <x:row r="10" ht="34.04999923706055" customHeight="1">
      <x:c r="A10" s="32" t="n">
        <x:v>1</x:v>
      </x:c>
      <x:c r="B10" s="32" t="str">
        <x:v>Research</x:v>
      </x:c>
      <x:c r="C10" s="33" t="str">
        <x:v>Confirm scope and project proposal</x:v>
      </x:c>
      <x:c r="D10" s="14" t="n">
        <x:v>46275</x:v>
      </x:c>
      <x:c r="E10" s="14" t="n">
        <x:v>46290</x:v>
      </x:c>
      <x:c r="F10" s="15" t="n">
        <x:f t="shared" ref="F10:F39" si="1">IF(OR(I10="OK",I10="Outside view"),IF(G10="Milestone",0,E10-D10+1),"")</x:f>
        <x:v>16</x:v>
      </x:c>
      <x:c r="G10" s="16" t="str">
        <x:v>Task</x:v>
      </x:c>
      <x:c r="H10" s="17"/>
      <x:c r="I10" s="15" t="str">
        <x:f t="shared" ref="I10:I39" si="2">IF(OR(D10="",E10=""),"Missing dates",IF(E10&lt;D10,"Finish &lt; start",IF(AND(G10="Milestone",D10&lt;&gt;E10),"Use one date",IF(OR(D10&lt;$J$9,E10&gt;$AQ$9+6),"Outside view","OK"))))</x:f>
        <x:v>OK</x:v>
      </x:c>
      <x:c r="J10" s="29" t="n">
        <x:f t="shared" ref="J10:S19" si="3">IF(AND(OR($I10="OK",$I10="Outside view"),$D10&lt;=J$9+6,$E10&gt;=J$9),IF($G10="Milestone","M",1),"")</x:f>
        <x:v>1</x:v>
      </x:c>
      <x:c r="K10" s="29" t="n">
        <x:f t="shared" si="3">IF(AND(OR($I10="OK",$I10="Outside view"),$D10&lt;=K$9+6,$E10&gt;=K$9),IF($G10="Milestone","M",1),"")</x:f>
        <x:v>1</x:v>
      </x:c>
      <x:c r="L10" s="29" t="n">
        <x:f t="shared" si="3">IF(AND(OR($I10="OK",$I10="Outside view"),$D10&lt;=L$9+6,$E10&gt;=L$9),IF($G10="Milestone","M",1),"")</x:f>
        <x:v>1</x:v>
      </x:c>
      <x:c r="M10" s="29" t="str">
        <x:f t="shared" si="3">IF(AND(OR($I10="OK",$I10="Outside view"),$D10&lt;=M$9+6,$E10&gt;=M$9),IF($G10="Milestone","M",1),"")</x:f>
      </x:c>
      <x:c r="N10" s="29" t="str">
        <x:f t="shared" si="3">IF(AND(OR($I10="OK",$I10="Outside view"),$D10&lt;=N$9+6,$E10&gt;=N$9),IF($G10="Milestone","M",1),"")</x:f>
      </x:c>
      <x:c r="O10" s="29" t="str">
        <x:f t="shared" si="3">IF(AND(OR($I10="OK",$I10="Outside view"),$D10&lt;=O$9+6,$E10&gt;=O$9),IF($G10="Milestone","M",1),"")</x:f>
      </x:c>
      <x:c r="P10" s="29" t="str">
        <x:f t="shared" si="3">IF(AND(OR($I10="OK",$I10="Outside view"),$D10&lt;=P$9+6,$E10&gt;=P$9),IF($G10="Milestone","M",1),"")</x:f>
      </x:c>
      <x:c r="Q10" s="29" t="str">
        <x:f t="shared" si="3">IF(AND(OR($I10="OK",$I10="Outside view"),$D10&lt;=Q$9+6,$E10&gt;=Q$9),IF($G10="Milestone","M",1),"")</x:f>
      </x:c>
      <x:c r="R10" s="29" t="str">
        <x:f t="shared" si="3">IF(AND(OR($I10="OK",$I10="Outside view"),$D10&lt;=R$9+6,$E10&gt;=R$9),IF($G10="Milestone","M",1),"")</x:f>
      </x:c>
      <x:c r="S10" s="29" t="str">
        <x:f t="shared" si="3">IF(AND(OR($I10="OK",$I10="Outside view"),$D10&lt;=S$9+6,$E10&gt;=S$9),IF($G10="Milestone","M",1),"")</x:f>
      </x:c>
      <x:c r="T10" s="29" t="str">
        <x:f t="shared" ref="T10:AC19" si="4">IF(AND(OR($I10="OK",$I10="Outside view"),$D10&lt;=T$9+6,$E10&gt;=T$9),IF($G10="Milestone","M",1),"")</x:f>
      </x:c>
      <x:c r="U10" s="29" t="str">
        <x:f t="shared" si="4">IF(AND(OR($I10="OK",$I10="Outside view"),$D10&lt;=U$9+6,$E10&gt;=U$9),IF($G10="Milestone","M",1),"")</x:f>
      </x:c>
      <x:c r="V10" s="29" t="str">
        <x:f t="shared" si="4">IF(AND(OR($I10="OK",$I10="Outside view"),$D10&lt;=V$9+6,$E10&gt;=V$9),IF($G10="Milestone","M",1),"")</x:f>
      </x:c>
      <x:c r="W10" s="29" t="str">
        <x:f t="shared" si="4">IF(AND(OR($I10="OK",$I10="Outside view"),$D10&lt;=W$9+6,$E10&gt;=W$9),IF($G10="Milestone","M",1),"")</x:f>
      </x:c>
      <x:c r="X10" s="29" t="str">
        <x:f t="shared" si="4">IF(AND(OR($I10="OK",$I10="Outside view"),$D10&lt;=X$9+6,$E10&gt;=X$9),IF($G10="Milestone","M",1),"")</x:f>
      </x:c>
      <x:c r="Y10" s="29" t="str">
        <x:f t="shared" si="4">IF(AND(OR($I10="OK",$I10="Outside view"),$D10&lt;=Y$9+6,$E10&gt;=Y$9),IF($G10="Milestone","M",1),"")</x:f>
      </x:c>
      <x:c r="Z10" s="29" t="str">
        <x:f t="shared" si="4">IF(AND(OR($I10="OK",$I10="Outside view"),$D10&lt;=Z$9+6,$E10&gt;=Z$9),IF($G10="Milestone","M",1),"")</x:f>
      </x:c>
      <x:c r="AA10" s="29" t="str">
        <x:f t="shared" si="4">IF(AND(OR($I10="OK",$I10="Outside view"),$D10&lt;=AA$9+6,$E10&gt;=AA$9),IF($G10="Milestone","M",1),"")</x:f>
      </x:c>
      <x:c r="AB10" s="29" t="str">
        <x:f t="shared" si="4">IF(AND(OR($I10="OK",$I10="Outside view"),$D10&lt;=AB$9+6,$E10&gt;=AB$9),IF($G10="Milestone","M",1),"")</x:f>
      </x:c>
      <x:c r="AC10" s="29" t="str">
        <x:f t="shared" si="4">IF(AND(OR($I10="OK",$I10="Outside view"),$D10&lt;=AC$9+6,$E10&gt;=AC$9),IF($G10="Milestone","M",1),"")</x:f>
      </x:c>
      <x:c r="AD10" s="29" t="str">
        <x:f t="shared" ref="AD10:AQ19" si="5">IF(AND(OR($I10="OK",$I10="Outside view"),$D10&lt;=AD$9+6,$E10&gt;=AD$9),IF($G10="Milestone","M",1),"")</x:f>
      </x:c>
      <x:c r="AE10" s="29" t="str">
        <x:f t="shared" si="5">IF(AND(OR($I10="OK",$I10="Outside view"),$D10&lt;=AE$9+6,$E10&gt;=AE$9),IF($G10="Milestone","M",1),"")</x:f>
      </x:c>
      <x:c r="AF10" s="29" t="str">
        <x:f t="shared" si="5">IF(AND(OR($I10="OK",$I10="Outside view"),$D10&lt;=AF$9+6,$E10&gt;=AF$9),IF($G10="Milestone","M",1),"")</x:f>
      </x:c>
      <x:c r="AG10" s="29" t="str">
        <x:f t="shared" si="5">IF(AND(OR($I10="OK",$I10="Outside view"),$D10&lt;=AG$9+6,$E10&gt;=AG$9),IF($G10="Milestone","M",1),"")</x:f>
      </x:c>
      <x:c r="AH10" s="29" t="str">
        <x:f t="shared" si="5">IF(AND(OR($I10="OK",$I10="Outside view"),$D10&lt;=AH$9+6,$E10&gt;=AH$9),IF($G10="Milestone","M",1),"")</x:f>
      </x:c>
      <x:c r="AI10" s="29" t="str">
        <x:f t="shared" si="5">IF(AND(OR($I10="OK",$I10="Outside view"),$D10&lt;=AI$9+6,$E10&gt;=AI$9),IF($G10="Milestone","M",1),"")</x:f>
      </x:c>
      <x:c r="AJ10" s="29" t="str">
        <x:f t="shared" si="5">IF(AND(OR($I10="OK",$I10="Outside view"),$D10&lt;=AJ$9+6,$E10&gt;=AJ$9),IF($G10="Milestone","M",1),"")</x:f>
      </x:c>
      <x:c r="AK10" s="29" t="str">
        <x:f t="shared" si="5">IF(AND(OR($I10="OK",$I10="Outside view"),$D10&lt;=AK$9+6,$E10&gt;=AK$9),IF($G10="Milestone","M",1),"")</x:f>
      </x:c>
      <x:c r="AL10" s="29" t="str">
        <x:f t="shared" si="5">IF(AND(OR($I10="OK",$I10="Outside view"),$D10&lt;=AL$9+6,$E10&gt;=AL$9),IF($G10="Milestone","M",1),"")</x:f>
      </x:c>
      <x:c r="AM10" s="29" t="str">
        <x:f t="shared" si="5">IF(AND(OR($I10="OK",$I10="Outside view"),$D10&lt;=AM$9+6,$E10&gt;=AM$9),IF($G10="Milestone","M",1),"")</x:f>
      </x:c>
      <x:c r="AN10" s="29" t="str">
        <x:f t="shared" si="5">IF(AND(OR($I10="OK",$I10="Outside view"),$D10&lt;=AN$9+6,$E10&gt;=AN$9),IF($G10="Milestone","M",1),"")</x:f>
      </x:c>
      <x:c r="AO10" s="29" t="str">
        <x:f t="shared" si="5">IF(AND(OR($I10="OK",$I10="Outside view"),$D10&lt;=AO$9+6,$E10&gt;=AO$9),IF($G10="Milestone","M",1),"")</x:f>
      </x:c>
      <x:c r="AP10" s="29" t="str">
        <x:f t="shared" si="5">IF(AND(OR($I10="OK",$I10="Outside view"),$D10&lt;=AP$9+6,$E10&gt;=AP$9),IF($G10="Milestone","M",1),"")</x:f>
      </x:c>
      <x:c r="AQ10" s="29" t="str">
        <x:f t="shared" si="5">IF(AND(OR($I10="OK",$I10="Outside view"),$D10&lt;=AQ$9+6,$E10&gt;=AQ$9),IF($G10="Milestone","M",1),"")</x:f>
      </x:c>
    </x:row>
    <x:row r="11" ht="34.04999923706055" customHeight="1">
      <x:c r="A11" s="34" t="n">
        <x:v>2</x:v>
      </x:c>
      <x:c r="B11" s="34" t="str">
        <x:v>Requirements</x:v>
      </x:c>
      <x:c r="C11" s="35" t="str">
        <x:v>Consult stakeholders and document requirements</x:v>
      </x:c>
      <x:c r="D11" s="10" t="n">
        <x:v>46279</x:v>
      </x:c>
      <x:c r="E11" s="10" t="n">
        <x:v>46290</x:v>
      </x:c>
      <x:c r="F11" s="1" t="n">
        <x:f t="shared" si="1">IF(OR(I11="OK",I11="Outside view"),IF(G11="Milestone",0,E11-D11+1),"")</x:f>
        <x:v>12</x:v>
      </x:c>
      <x:c r="G11" s="7" t="str">
        <x:v>Task</x:v>
      </x:c>
      <x:c r="H11" s="11" t="n">
        <x:v>1</x:v>
      </x:c>
      <x:c r="I11" s="1" t="str">
        <x:f t="shared" si="2">IF(OR(D11="",E11=""),"Missing dates",IF(E11&lt;D11,"Finish &lt; start",IF(AND(G11="Milestone",D11&lt;&gt;E11),"Use one date",IF(OR(D11&lt;$J$9,E11&gt;$AQ$9+6),"Outside view","OK"))))</x:f>
        <x:v>OK</x:v>
      </x:c>
      <x:c r="J11" s="30" t="str">
        <x:f t="shared" si="3">IF(AND(OR($I11="OK",$I11="Outside view"),$D11&lt;=J$9+6,$E11&gt;=J$9),IF($G11="Milestone","M",1),"")</x:f>
      </x:c>
      <x:c r="K11" s="30" t="n">
        <x:f t="shared" si="3">IF(AND(OR($I11="OK",$I11="Outside view"),$D11&lt;=K$9+6,$E11&gt;=K$9),IF($G11="Milestone","M",1),"")</x:f>
        <x:v>1</x:v>
      </x:c>
      <x:c r="L11" s="30" t="n">
        <x:f t="shared" si="3">IF(AND(OR($I11="OK",$I11="Outside view"),$D11&lt;=L$9+6,$E11&gt;=L$9),IF($G11="Milestone","M",1),"")</x:f>
        <x:v>1</x:v>
      </x:c>
      <x:c r="M11" s="30" t="str">
        <x:f t="shared" si="3">IF(AND(OR($I11="OK",$I11="Outside view"),$D11&lt;=M$9+6,$E11&gt;=M$9),IF($G11="Milestone","M",1),"")</x:f>
      </x:c>
      <x:c r="N11" s="30" t="str">
        <x:f t="shared" si="3">IF(AND(OR($I11="OK",$I11="Outside view"),$D11&lt;=N$9+6,$E11&gt;=N$9),IF($G11="Milestone","M",1),"")</x:f>
      </x:c>
      <x:c r="O11" s="30" t="str">
        <x:f t="shared" si="3">IF(AND(OR($I11="OK",$I11="Outside view"),$D11&lt;=O$9+6,$E11&gt;=O$9),IF($G11="Milestone","M",1),"")</x:f>
      </x:c>
      <x:c r="P11" s="30" t="str">
        <x:f t="shared" si="3">IF(AND(OR($I11="OK",$I11="Outside view"),$D11&lt;=P$9+6,$E11&gt;=P$9),IF($G11="Milestone","M",1),"")</x:f>
      </x:c>
      <x:c r="Q11" s="30" t="str">
        <x:f t="shared" si="3">IF(AND(OR($I11="OK",$I11="Outside view"),$D11&lt;=Q$9+6,$E11&gt;=Q$9),IF($G11="Milestone","M",1),"")</x:f>
      </x:c>
      <x:c r="R11" s="30" t="str">
        <x:f t="shared" si="3">IF(AND(OR($I11="OK",$I11="Outside view"),$D11&lt;=R$9+6,$E11&gt;=R$9),IF($G11="Milestone","M",1),"")</x:f>
      </x:c>
      <x:c r="S11" s="30" t="str">
        <x:f t="shared" si="3">IF(AND(OR($I11="OK",$I11="Outside view"),$D11&lt;=S$9+6,$E11&gt;=S$9),IF($G11="Milestone","M",1),"")</x:f>
      </x:c>
      <x:c r="T11" s="30" t="str">
        <x:f t="shared" si="4">IF(AND(OR($I11="OK",$I11="Outside view"),$D11&lt;=T$9+6,$E11&gt;=T$9),IF($G11="Milestone","M",1),"")</x:f>
      </x:c>
      <x:c r="U11" s="30" t="str">
        <x:f t="shared" si="4">IF(AND(OR($I11="OK",$I11="Outside view"),$D11&lt;=U$9+6,$E11&gt;=U$9),IF($G11="Milestone","M",1),"")</x:f>
      </x:c>
      <x:c r="V11" s="30" t="str">
        <x:f t="shared" si="4">IF(AND(OR($I11="OK",$I11="Outside view"),$D11&lt;=V$9+6,$E11&gt;=V$9),IF($G11="Milestone","M",1),"")</x:f>
      </x:c>
      <x:c r="W11" s="30" t="str">
        <x:f t="shared" si="4">IF(AND(OR($I11="OK",$I11="Outside view"),$D11&lt;=W$9+6,$E11&gt;=W$9),IF($G11="Milestone","M",1),"")</x:f>
      </x:c>
      <x:c r="X11" s="30" t="str">
        <x:f t="shared" si="4">IF(AND(OR($I11="OK",$I11="Outside view"),$D11&lt;=X$9+6,$E11&gt;=X$9),IF($G11="Milestone","M",1),"")</x:f>
      </x:c>
      <x:c r="Y11" s="30" t="str">
        <x:f t="shared" si="4">IF(AND(OR($I11="OK",$I11="Outside view"),$D11&lt;=Y$9+6,$E11&gt;=Y$9),IF($G11="Milestone","M",1),"")</x:f>
      </x:c>
      <x:c r="Z11" s="30" t="str">
        <x:f t="shared" si="4">IF(AND(OR($I11="OK",$I11="Outside view"),$D11&lt;=Z$9+6,$E11&gt;=Z$9),IF($G11="Milestone","M",1),"")</x:f>
      </x:c>
      <x:c r="AA11" s="30" t="str">
        <x:f t="shared" si="4">IF(AND(OR($I11="OK",$I11="Outside view"),$D11&lt;=AA$9+6,$E11&gt;=AA$9),IF($G11="Milestone","M",1),"")</x:f>
      </x:c>
      <x:c r="AB11" s="30" t="str">
        <x:f t="shared" si="4">IF(AND(OR($I11="OK",$I11="Outside view"),$D11&lt;=AB$9+6,$E11&gt;=AB$9),IF($G11="Milestone","M",1),"")</x:f>
      </x:c>
      <x:c r="AC11" s="30" t="str">
        <x:f t="shared" si="4">IF(AND(OR($I11="OK",$I11="Outside view"),$D11&lt;=AC$9+6,$E11&gt;=AC$9),IF($G11="Milestone","M",1),"")</x:f>
      </x:c>
      <x:c r="AD11" s="30" t="str">
        <x:f t="shared" si="5">IF(AND(OR($I11="OK",$I11="Outside view"),$D11&lt;=AD$9+6,$E11&gt;=AD$9),IF($G11="Milestone","M",1),"")</x:f>
      </x:c>
      <x:c r="AE11" s="30" t="str">
        <x:f t="shared" si="5">IF(AND(OR($I11="OK",$I11="Outside view"),$D11&lt;=AE$9+6,$E11&gt;=AE$9),IF($G11="Milestone","M",1),"")</x:f>
      </x:c>
      <x:c r="AF11" s="30" t="str">
        <x:f t="shared" si="5">IF(AND(OR($I11="OK",$I11="Outside view"),$D11&lt;=AF$9+6,$E11&gt;=AF$9),IF($G11="Milestone","M",1),"")</x:f>
      </x:c>
      <x:c r="AG11" s="30" t="str">
        <x:f t="shared" si="5">IF(AND(OR($I11="OK",$I11="Outside view"),$D11&lt;=AG$9+6,$E11&gt;=AG$9),IF($G11="Milestone","M",1),"")</x:f>
      </x:c>
      <x:c r="AH11" s="30" t="str">
        <x:f t="shared" si="5">IF(AND(OR($I11="OK",$I11="Outside view"),$D11&lt;=AH$9+6,$E11&gt;=AH$9),IF($G11="Milestone","M",1),"")</x:f>
      </x:c>
      <x:c r="AI11" s="30" t="str">
        <x:f t="shared" si="5">IF(AND(OR($I11="OK",$I11="Outside view"),$D11&lt;=AI$9+6,$E11&gt;=AI$9),IF($G11="Milestone","M",1),"")</x:f>
      </x:c>
      <x:c r="AJ11" s="30" t="str">
        <x:f t="shared" si="5">IF(AND(OR($I11="OK",$I11="Outside view"),$D11&lt;=AJ$9+6,$E11&gt;=AJ$9),IF($G11="Milestone","M",1),"")</x:f>
      </x:c>
      <x:c r="AK11" s="30" t="str">
        <x:f t="shared" si="5">IF(AND(OR($I11="OK",$I11="Outside view"),$D11&lt;=AK$9+6,$E11&gt;=AK$9),IF($G11="Milestone","M",1),"")</x:f>
      </x:c>
      <x:c r="AL11" s="30" t="str">
        <x:f t="shared" si="5">IF(AND(OR($I11="OK",$I11="Outside view"),$D11&lt;=AL$9+6,$E11&gt;=AL$9),IF($G11="Milestone","M",1),"")</x:f>
      </x:c>
      <x:c r="AM11" s="30" t="str">
        <x:f t="shared" si="5">IF(AND(OR($I11="OK",$I11="Outside view"),$D11&lt;=AM$9+6,$E11&gt;=AM$9),IF($G11="Milestone","M",1),"")</x:f>
      </x:c>
      <x:c r="AN11" s="30" t="str">
        <x:f t="shared" si="5">IF(AND(OR($I11="OK",$I11="Outside view"),$D11&lt;=AN$9+6,$E11&gt;=AN$9),IF($G11="Milestone","M",1),"")</x:f>
      </x:c>
      <x:c r="AO11" s="30" t="str">
        <x:f t="shared" si="5">IF(AND(OR($I11="OK",$I11="Outside view"),$D11&lt;=AO$9+6,$E11&gt;=AO$9),IF($G11="Milestone","M",1),"")</x:f>
      </x:c>
      <x:c r="AP11" s="30" t="str">
        <x:f t="shared" si="5">IF(AND(OR($I11="OK",$I11="Outside view"),$D11&lt;=AP$9+6,$E11&gt;=AP$9),IF($G11="Milestone","M",1),"")</x:f>
      </x:c>
      <x:c r="AQ11" s="30" t="str">
        <x:f t="shared" si="5">IF(AND(OR($I11="OK",$I11="Outside view"),$D11&lt;=AQ$9+6,$E11&gt;=AQ$9),IF($G11="Milestone","M",1),"")</x:f>
      </x:c>
    </x:row>
    <x:row r="12" ht="34.04999923706055" customHeight="1">
      <x:c r="A12" s="36" t="n">
        <x:v>3</x:v>
      </x:c>
      <x:c r="B12" s="36" t="str">
        <x:v>Research</x:v>
      </x:c>
      <x:c r="C12" s="35" t="str">
        <x:v>Search and critically review 10–12 articles</x:v>
      </x:c>
      <x:c r="D12" s="10" t="n">
        <x:v>46279</x:v>
      </x:c>
      <x:c r="E12" s="10" t="n">
        <x:v>46297</x:v>
      </x:c>
      <x:c r="F12" s="1" t="n">
        <x:f t="shared" si="1">IF(OR(I12="OK",I12="Outside view"),IF(G12="Milestone",0,E12-D12+1),"")</x:f>
        <x:v>19</x:v>
      </x:c>
      <x:c r="G12" s="7" t="str">
        <x:v>Task</x:v>
      </x:c>
      <x:c r="H12" s="11"/>
      <x:c r="I12" s="1" t="str">
        <x:f t="shared" si="2">IF(OR(D12="",E12=""),"Missing dates",IF(E12&lt;D12,"Finish &lt; start",IF(AND(G12="Milestone",D12&lt;&gt;E12),"Use one date",IF(OR(D12&lt;$J$9,E12&gt;$AQ$9+6),"Outside view","OK"))))</x:f>
        <x:v>OK</x:v>
      </x:c>
      <x:c r="J12" s="30" t="str">
        <x:f t="shared" si="3">IF(AND(OR($I12="OK",$I12="Outside view"),$D12&lt;=J$9+6,$E12&gt;=J$9),IF($G12="Milestone","M",1),"")</x:f>
      </x:c>
      <x:c r="K12" s="30" t="n">
        <x:f t="shared" si="3">IF(AND(OR($I12="OK",$I12="Outside view"),$D12&lt;=K$9+6,$E12&gt;=K$9),IF($G12="Milestone","M",1),"")</x:f>
        <x:v>1</x:v>
      </x:c>
      <x:c r="L12" s="30" t="n">
        <x:f t="shared" si="3">IF(AND(OR($I12="OK",$I12="Outside view"),$D12&lt;=L$9+6,$E12&gt;=L$9),IF($G12="Milestone","M",1),"")</x:f>
        <x:v>1</x:v>
      </x:c>
      <x:c r="M12" s="30" t="n">
        <x:f t="shared" si="3">IF(AND(OR($I12="OK",$I12="Outside view"),$D12&lt;=M$9+6,$E12&gt;=M$9),IF($G12="Milestone","M",1),"")</x:f>
        <x:v>1</x:v>
      </x:c>
      <x:c r="N12" s="30" t="str">
        <x:f t="shared" si="3">IF(AND(OR($I12="OK",$I12="Outside view"),$D12&lt;=N$9+6,$E12&gt;=N$9),IF($G12="Milestone","M",1),"")</x:f>
      </x:c>
      <x:c r="O12" s="30" t="str">
        <x:f t="shared" si="3">IF(AND(OR($I12="OK",$I12="Outside view"),$D12&lt;=O$9+6,$E12&gt;=O$9),IF($G12="Milestone","M",1),"")</x:f>
      </x:c>
      <x:c r="P12" s="30" t="str">
        <x:f t="shared" si="3">IF(AND(OR($I12="OK",$I12="Outside view"),$D12&lt;=P$9+6,$E12&gt;=P$9),IF($G12="Milestone","M",1),"")</x:f>
      </x:c>
      <x:c r="Q12" s="30" t="str">
        <x:f t="shared" si="3">IF(AND(OR($I12="OK",$I12="Outside view"),$D12&lt;=Q$9+6,$E12&gt;=Q$9),IF($G12="Milestone","M",1),"")</x:f>
      </x:c>
      <x:c r="R12" s="30" t="str">
        <x:f t="shared" si="3">IF(AND(OR($I12="OK",$I12="Outside view"),$D12&lt;=R$9+6,$E12&gt;=R$9),IF($G12="Milestone","M",1),"")</x:f>
      </x:c>
      <x:c r="S12" s="30" t="str">
        <x:f t="shared" si="3">IF(AND(OR($I12="OK",$I12="Outside view"),$D12&lt;=S$9+6,$E12&gt;=S$9),IF($G12="Milestone","M",1),"")</x:f>
      </x:c>
      <x:c r="T12" s="30" t="str">
        <x:f t="shared" si="4">IF(AND(OR($I12="OK",$I12="Outside view"),$D12&lt;=T$9+6,$E12&gt;=T$9),IF($G12="Milestone","M",1),"")</x:f>
      </x:c>
      <x:c r="U12" s="30" t="str">
        <x:f t="shared" si="4">IF(AND(OR($I12="OK",$I12="Outside view"),$D12&lt;=U$9+6,$E12&gt;=U$9),IF($G12="Milestone","M",1),"")</x:f>
      </x:c>
      <x:c r="V12" s="30" t="str">
        <x:f t="shared" si="4">IF(AND(OR($I12="OK",$I12="Outside view"),$D12&lt;=V$9+6,$E12&gt;=V$9),IF($G12="Milestone","M",1),"")</x:f>
      </x:c>
      <x:c r="W12" s="30" t="str">
        <x:f t="shared" si="4">IF(AND(OR($I12="OK",$I12="Outside view"),$D12&lt;=W$9+6,$E12&gt;=W$9),IF($G12="Milestone","M",1),"")</x:f>
      </x:c>
      <x:c r="X12" s="30" t="str">
        <x:f t="shared" si="4">IF(AND(OR($I12="OK",$I12="Outside view"),$D12&lt;=X$9+6,$E12&gt;=X$9),IF($G12="Milestone","M",1),"")</x:f>
      </x:c>
      <x:c r="Y12" s="30" t="str">
        <x:f t="shared" si="4">IF(AND(OR($I12="OK",$I12="Outside view"),$D12&lt;=Y$9+6,$E12&gt;=Y$9),IF($G12="Milestone","M",1),"")</x:f>
      </x:c>
      <x:c r="Z12" s="30" t="str">
        <x:f t="shared" si="4">IF(AND(OR($I12="OK",$I12="Outside view"),$D12&lt;=Z$9+6,$E12&gt;=Z$9),IF($G12="Milestone","M",1),"")</x:f>
      </x:c>
      <x:c r="AA12" s="30" t="str">
        <x:f t="shared" si="4">IF(AND(OR($I12="OK",$I12="Outside view"),$D12&lt;=AA$9+6,$E12&gt;=AA$9),IF($G12="Milestone","M",1),"")</x:f>
      </x:c>
      <x:c r="AB12" s="30" t="str">
        <x:f t="shared" si="4">IF(AND(OR($I12="OK",$I12="Outside view"),$D12&lt;=AB$9+6,$E12&gt;=AB$9),IF($G12="Milestone","M",1),"")</x:f>
      </x:c>
      <x:c r="AC12" s="30" t="str">
        <x:f t="shared" si="4">IF(AND(OR($I12="OK",$I12="Outside view"),$D12&lt;=AC$9+6,$E12&gt;=AC$9),IF($G12="Milestone","M",1),"")</x:f>
      </x:c>
      <x:c r="AD12" s="30" t="str">
        <x:f t="shared" si="5">IF(AND(OR($I12="OK",$I12="Outside view"),$D12&lt;=AD$9+6,$E12&gt;=AD$9),IF($G12="Milestone","M",1),"")</x:f>
      </x:c>
      <x:c r="AE12" s="30" t="str">
        <x:f t="shared" si="5">IF(AND(OR($I12="OK",$I12="Outside view"),$D12&lt;=AE$9+6,$E12&gt;=AE$9),IF($G12="Milestone","M",1),"")</x:f>
      </x:c>
      <x:c r="AF12" s="30" t="str">
        <x:f t="shared" si="5">IF(AND(OR($I12="OK",$I12="Outside view"),$D12&lt;=AF$9+6,$E12&gt;=AF$9),IF($G12="Milestone","M",1),"")</x:f>
      </x:c>
      <x:c r="AG12" s="30" t="str">
        <x:f t="shared" si="5">IF(AND(OR($I12="OK",$I12="Outside view"),$D12&lt;=AG$9+6,$E12&gt;=AG$9),IF($G12="Milestone","M",1),"")</x:f>
      </x:c>
      <x:c r="AH12" s="30" t="str">
        <x:f t="shared" si="5">IF(AND(OR($I12="OK",$I12="Outside view"),$D12&lt;=AH$9+6,$E12&gt;=AH$9),IF($G12="Milestone","M",1),"")</x:f>
      </x:c>
      <x:c r="AI12" s="30" t="str">
        <x:f t="shared" si="5">IF(AND(OR($I12="OK",$I12="Outside view"),$D12&lt;=AI$9+6,$E12&gt;=AI$9),IF($G12="Milestone","M",1),"")</x:f>
      </x:c>
      <x:c r="AJ12" s="30" t="str">
        <x:f t="shared" si="5">IF(AND(OR($I12="OK",$I12="Outside view"),$D12&lt;=AJ$9+6,$E12&gt;=AJ$9),IF($G12="Milestone","M",1),"")</x:f>
      </x:c>
      <x:c r="AK12" s="30" t="str">
        <x:f t="shared" si="5">IF(AND(OR($I12="OK",$I12="Outside view"),$D12&lt;=AK$9+6,$E12&gt;=AK$9),IF($G12="Milestone","M",1),"")</x:f>
      </x:c>
      <x:c r="AL12" s="30" t="str">
        <x:f t="shared" si="5">IF(AND(OR($I12="OK",$I12="Outside view"),$D12&lt;=AL$9+6,$E12&gt;=AL$9),IF($G12="Milestone","M",1),"")</x:f>
      </x:c>
      <x:c r="AM12" s="30" t="str">
        <x:f t="shared" si="5">IF(AND(OR($I12="OK",$I12="Outside view"),$D12&lt;=AM$9+6,$E12&gt;=AM$9),IF($G12="Milestone","M",1),"")</x:f>
      </x:c>
      <x:c r="AN12" s="30" t="str">
        <x:f t="shared" si="5">IF(AND(OR($I12="OK",$I12="Outside view"),$D12&lt;=AN$9+6,$E12&gt;=AN$9),IF($G12="Milestone","M",1),"")</x:f>
      </x:c>
      <x:c r="AO12" s="30" t="str">
        <x:f t="shared" si="5">IF(AND(OR($I12="OK",$I12="Outside view"),$D12&lt;=AO$9+6,$E12&gt;=AO$9),IF($G12="Milestone","M",1),"")</x:f>
      </x:c>
      <x:c r="AP12" s="30" t="str">
        <x:f t="shared" si="5">IF(AND(OR($I12="OK",$I12="Outside view"),$D12&lt;=AP$9+6,$E12&gt;=AP$9),IF($G12="Milestone","M",1),"")</x:f>
      </x:c>
      <x:c r="AQ12" s="30" t="str">
        <x:f t="shared" si="5">IF(AND(OR($I12="OK",$I12="Outside view"),$D12&lt;=AQ$9+6,$E12&gt;=AQ$9),IF($G12="Milestone","M",1),"")</x:f>
      </x:c>
    </x:row>
    <x:row r="13" ht="34.04999923706055" customHeight="1">
      <x:c r="A13" s="36" t="n">
        <x:v>4</x:v>
      </x:c>
      <x:c r="B13" s="36" t="str">
        <x:v>Research</x:v>
      </x:c>
      <x:c r="C13" s="35" t="str">
        <x:v>Write literature synthesis and research gap</x:v>
      </x:c>
      <x:c r="D13" s="10" t="n">
        <x:v>46287</x:v>
      </x:c>
      <x:c r="E13" s="10" t="n">
        <x:v>46299</x:v>
      </x:c>
      <x:c r="F13" s="1" t="n">
        <x:f t="shared" si="1">IF(OR(I13="OK",I13="Outside view"),IF(G13="Milestone",0,E13-D13+1),"")</x:f>
        <x:v>13</x:v>
      </x:c>
      <x:c r="G13" s="7" t="str">
        <x:v>Task</x:v>
      </x:c>
      <x:c r="H13" s="11"/>
      <x:c r="I13" s="1" t="str">
        <x:f t="shared" si="2">IF(OR(D13="",E13=""),"Missing dates",IF(E13&lt;D13,"Finish &lt; start",IF(AND(G13="Milestone",D13&lt;&gt;E13),"Use one date",IF(OR(D13&lt;$J$9,E13&gt;$AQ$9+6),"Outside view","OK"))))</x:f>
        <x:v>OK</x:v>
      </x:c>
      <x:c r="J13" s="30" t="str">
        <x:f t="shared" si="3">IF(AND(OR($I13="OK",$I13="Outside view"),$D13&lt;=J$9+6,$E13&gt;=J$9),IF($G13="Milestone","M",1),"")</x:f>
      </x:c>
      <x:c r="K13" s="30" t="str">
        <x:f t="shared" si="3">IF(AND(OR($I13="OK",$I13="Outside view"),$D13&lt;=K$9+6,$E13&gt;=K$9),IF($G13="Milestone","M",1),"")</x:f>
      </x:c>
      <x:c r="L13" s="30" t="n">
        <x:f t="shared" si="3">IF(AND(OR($I13="OK",$I13="Outside view"),$D13&lt;=L$9+6,$E13&gt;=L$9),IF($G13="Milestone","M",1),"")</x:f>
        <x:v>1</x:v>
      </x:c>
      <x:c r="M13" s="30" t="n">
        <x:f t="shared" si="3">IF(AND(OR($I13="OK",$I13="Outside view"),$D13&lt;=M$9+6,$E13&gt;=M$9),IF($G13="Milestone","M",1),"")</x:f>
        <x:v>1</x:v>
      </x:c>
      <x:c r="N13" s="30" t="str">
        <x:f t="shared" si="3">IF(AND(OR($I13="OK",$I13="Outside view"),$D13&lt;=N$9+6,$E13&gt;=N$9),IF($G13="Milestone","M",1),"")</x:f>
      </x:c>
      <x:c r="O13" s="30" t="str">
        <x:f t="shared" si="3">IF(AND(OR($I13="OK",$I13="Outside view"),$D13&lt;=O$9+6,$E13&gt;=O$9),IF($G13="Milestone","M",1),"")</x:f>
      </x:c>
      <x:c r="P13" s="30" t="str">
        <x:f t="shared" si="3">IF(AND(OR($I13="OK",$I13="Outside view"),$D13&lt;=P$9+6,$E13&gt;=P$9),IF($G13="Milestone","M",1),"")</x:f>
      </x:c>
      <x:c r="Q13" s="30" t="str">
        <x:f t="shared" si="3">IF(AND(OR($I13="OK",$I13="Outside view"),$D13&lt;=Q$9+6,$E13&gt;=Q$9),IF($G13="Milestone","M",1),"")</x:f>
      </x:c>
      <x:c r="R13" s="30" t="str">
        <x:f t="shared" si="3">IF(AND(OR($I13="OK",$I13="Outside view"),$D13&lt;=R$9+6,$E13&gt;=R$9),IF($G13="Milestone","M",1),"")</x:f>
      </x:c>
      <x:c r="S13" s="30" t="str">
        <x:f t="shared" si="3">IF(AND(OR($I13="OK",$I13="Outside view"),$D13&lt;=S$9+6,$E13&gt;=S$9),IF($G13="Milestone","M",1),"")</x:f>
      </x:c>
      <x:c r="T13" s="30" t="str">
        <x:f t="shared" si="4">IF(AND(OR($I13="OK",$I13="Outside view"),$D13&lt;=T$9+6,$E13&gt;=T$9),IF($G13="Milestone","M",1),"")</x:f>
      </x:c>
      <x:c r="U13" s="30" t="str">
        <x:f t="shared" si="4">IF(AND(OR($I13="OK",$I13="Outside view"),$D13&lt;=U$9+6,$E13&gt;=U$9),IF($G13="Milestone","M",1),"")</x:f>
      </x:c>
      <x:c r="V13" s="30" t="str">
        <x:f t="shared" si="4">IF(AND(OR($I13="OK",$I13="Outside view"),$D13&lt;=V$9+6,$E13&gt;=V$9),IF($G13="Milestone","M",1),"")</x:f>
      </x:c>
      <x:c r="W13" s="30" t="str">
        <x:f t="shared" si="4">IF(AND(OR($I13="OK",$I13="Outside view"),$D13&lt;=W$9+6,$E13&gt;=W$9),IF($G13="Milestone","M",1),"")</x:f>
      </x:c>
      <x:c r="X13" s="30" t="str">
        <x:f t="shared" si="4">IF(AND(OR($I13="OK",$I13="Outside view"),$D13&lt;=X$9+6,$E13&gt;=X$9),IF($G13="Milestone","M",1),"")</x:f>
      </x:c>
      <x:c r="Y13" s="30" t="str">
        <x:f t="shared" si="4">IF(AND(OR($I13="OK",$I13="Outside view"),$D13&lt;=Y$9+6,$E13&gt;=Y$9),IF($G13="Milestone","M",1),"")</x:f>
      </x:c>
      <x:c r="Z13" s="30" t="str">
        <x:f t="shared" si="4">IF(AND(OR($I13="OK",$I13="Outside view"),$D13&lt;=Z$9+6,$E13&gt;=Z$9),IF($G13="Milestone","M",1),"")</x:f>
      </x:c>
      <x:c r="AA13" s="30" t="str">
        <x:f t="shared" si="4">IF(AND(OR($I13="OK",$I13="Outside view"),$D13&lt;=AA$9+6,$E13&gt;=AA$9),IF($G13="Milestone","M",1),"")</x:f>
      </x:c>
      <x:c r="AB13" s="30" t="str">
        <x:f t="shared" si="4">IF(AND(OR($I13="OK",$I13="Outside view"),$D13&lt;=AB$9+6,$E13&gt;=AB$9),IF($G13="Milestone","M",1),"")</x:f>
      </x:c>
      <x:c r="AC13" s="30" t="str">
        <x:f t="shared" si="4">IF(AND(OR($I13="OK",$I13="Outside view"),$D13&lt;=AC$9+6,$E13&gt;=AC$9),IF($G13="Milestone","M",1),"")</x:f>
      </x:c>
      <x:c r="AD13" s="30" t="str">
        <x:f t="shared" si="5">IF(AND(OR($I13="OK",$I13="Outside view"),$D13&lt;=AD$9+6,$E13&gt;=AD$9),IF($G13="Milestone","M",1),"")</x:f>
      </x:c>
      <x:c r="AE13" s="30" t="str">
        <x:f t="shared" si="5">IF(AND(OR($I13="OK",$I13="Outside view"),$D13&lt;=AE$9+6,$E13&gt;=AE$9),IF($G13="Milestone","M",1),"")</x:f>
      </x:c>
      <x:c r="AF13" s="30" t="str">
        <x:f t="shared" si="5">IF(AND(OR($I13="OK",$I13="Outside view"),$D13&lt;=AF$9+6,$E13&gt;=AF$9),IF($G13="Milestone","M",1),"")</x:f>
      </x:c>
      <x:c r="AG13" s="30" t="str">
        <x:f t="shared" si="5">IF(AND(OR($I13="OK",$I13="Outside view"),$D13&lt;=AG$9+6,$E13&gt;=AG$9),IF($G13="Milestone","M",1),"")</x:f>
      </x:c>
      <x:c r="AH13" s="30" t="str">
        <x:f t="shared" si="5">IF(AND(OR($I13="OK",$I13="Outside view"),$D13&lt;=AH$9+6,$E13&gt;=AH$9),IF($G13="Milestone","M",1),"")</x:f>
      </x:c>
      <x:c r="AI13" s="30" t="str">
        <x:f t="shared" si="5">IF(AND(OR($I13="OK",$I13="Outside view"),$D13&lt;=AI$9+6,$E13&gt;=AI$9),IF($G13="Milestone","M",1),"")</x:f>
      </x:c>
      <x:c r="AJ13" s="30" t="str">
        <x:f t="shared" si="5">IF(AND(OR($I13="OK",$I13="Outside view"),$D13&lt;=AJ$9+6,$E13&gt;=AJ$9),IF($G13="Milestone","M",1),"")</x:f>
      </x:c>
      <x:c r="AK13" s="30" t="str">
        <x:f t="shared" si="5">IF(AND(OR($I13="OK",$I13="Outside view"),$D13&lt;=AK$9+6,$E13&gt;=AK$9),IF($G13="Milestone","M",1),"")</x:f>
      </x:c>
      <x:c r="AL13" s="30" t="str">
        <x:f t="shared" si="5">IF(AND(OR($I13="OK",$I13="Outside view"),$D13&lt;=AL$9+6,$E13&gt;=AL$9),IF($G13="Milestone","M",1),"")</x:f>
      </x:c>
      <x:c r="AM13" s="30" t="str">
        <x:f t="shared" si="5">IF(AND(OR($I13="OK",$I13="Outside view"),$D13&lt;=AM$9+6,$E13&gt;=AM$9),IF($G13="Milestone","M",1),"")</x:f>
      </x:c>
      <x:c r="AN13" s="30" t="str">
        <x:f t="shared" si="5">IF(AND(OR($I13="OK",$I13="Outside view"),$D13&lt;=AN$9+6,$E13&gt;=AN$9),IF($G13="Milestone","M",1),"")</x:f>
      </x:c>
      <x:c r="AO13" s="30" t="str">
        <x:f t="shared" si="5">IF(AND(OR($I13="OK",$I13="Outside view"),$D13&lt;=AO$9+6,$E13&gt;=AO$9),IF($G13="Milestone","M",1),"")</x:f>
      </x:c>
      <x:c r="AP13" s="30" t="str">
        <x:f t="shared" si="5">IF(AND(OR($I13="OK",$I13="Outside view"),$D13&lt;=AP$9+6,$E13&gt;=AP$9),IF($G13="Milestone","M",1),"")</x:f>
      </x:c>
      <x:c r="AQ13" s="30" t="str">
        <x:f t="shared" si="5">IF(AND(OR($I13="OK",$I13="Outside view"),$D13&lt;=AQ$9+6,$E13&gt;=AQ$9),IF($G13="Milestone","M",1),"")</x:f>
      </x:c>
    </x:row>
    <x:row r="14" ht="34.04999923706055" customHeight="1">
      <x:c r="A14" s="32" t="n">
        <x:v>5</x:v>
      </x:c>
      <x:c r="B14" s="32" t="str">
        <x:v>Research</x:v>
      </x:c>
      <x:c r="C14" s="37" t="str">
        <x:v>Submit literature review assignment</x:v>
      </x:c>
      <x:c r="D14" s="14" t="n">
        <x:v>46300</x:v>
      </x:c>
      <x:c r="E14" s="14" t="n">
        <x:v>46300</x:v>
      </x:c>
      <x:c r="F14" s="15" t="n">
        <x:f t="shared" si="1">IF(OR(I14="OK",I14="Outside view"),IF(G14="Milestone",0,E14-D14+1),"")</x:f>
        <x:v>0</x:v>
      </x:c>
      <x:c r="G14" s="16" t="str">
        <x:v>Milestone</x:v>
      </x:c>
      <x:c r="H14" s="17"/>
      <x:c r="I14" s="15" t="str">
        <x:f t="shared" si="2">IF(OR(D14="",E14=""),"Missing dates",IF(E14&lt;D14,"Finish &lt; start",IF(AND(G14="Milestone",D14&lt;&gt;E14),"Use one date",IF(OR(D14&lt;$J$9,E14&gt;$AQ$9+6),"Outside view","OK"))))</x:f>
        <x:v>OK</x:v>
      </x:c>
      <x:c r="J14" s="29" t="str">
        <x:f t="shared" si="3">IF(AND(OR($I14="OK",$I14="Outside view"),$D14&lt;=J$9+6,$E14&gt;=J$9),IF($G14="Milestone","M",1),"")</x:f>
      </x:c>
      <x:c r="K14" s="29" t="str">
        <x:f t="shared" si="3">IF(AND(OR($I14="OK",$I14="Outside view"),$D14&lt;=K$9+6,$E14&gt;=K$9),IF($G14="Milestone","M",1),"")</x:f>
      </x:c>
      <x:c r="L14" s="29" t="str">
        <x:f t="shared" si="3">IF(AND(OR($I14="OK",$I14="Outside view"),$D14&lt;=L$9+6,$E14&gt;=L$9),IF($G14="Milestone","M",1),"")</x:f>
      </x:c>
      <x:c r="M14" s="29" t="str">
        <x:f t="shared" si="3">IF(AND(OR($I14="OK",$I14="Outside view"),$D14&lt;=M$9+6,$E14&gt;=M$9),IF($G14="Milestone","M",1),"")</x:f>
      </x:c>
      <x:c r="N14" s="29" t="str">
        <x:f t="shared" si="3">IF(AND(OR($I14="OK",$I14="Outside view"),$D14&lt;=N$9+6,$E14&gt;=N$9),IF($G14="Milestone","M",1),"")</x:f>
        <x:v>M</x:v>
      </x:c>
      <x:c r="O14" s="29" t="str">
        <x:f t="shared" si="3">IF(AND(OR($I14="OK",$I14="Outside view"),$D14&lt;=O$9+6,$E14&gt;=O$9),IF($G14="Milestone","M",1),"")</x:f>
      </x:c>
      <x:c r="P14" s="29" t="str">
        <x:f t="shared" si="3">IF(AND(OR($I14="OK",$I14="Outside view"),$D14&lt;=P$9+6,$E14&gt;=P$9),IF($G14="Milestone","M",1),"")</x:f>
      </x:c>
      <x:c r="Q14" s="29" t="str">
        <x:f t="shared" si="3">IF(AND(OR($I14="OK",$I14="Outside view"),$D14&lt;=Q$9+6,$E14&gt;=Q$9),IF($G14="Milestone","M",1),"")</x:f>
      </x:c>
      <x:c r="R14" s="29" t="str">
        <x:f t="shared" si="3">IF(AND(OR($I14="OK",$I14="Outside view"),$D14&lt;=R$9+6,$E14&gt;=R$9),IF($G14="Milestone","M",1),"")</x:f>
      </x:c>
      <x:c r="S14" s="29" t="str">
        <x:f t="shared" si="3">IF(AND(OR($I14="OK",$I14="Outside view"),$D14&lt;=S$9+6,$E14&gt;=S$9),IF($G14="Milestone","M",1),"")</x:f>
      </x:c>
      <x:c r="T14" s="29" t="str">
        <x:f t="shared" si="4">IF(AND(OR($I14="OK",$I14="Outside view"),$D14&lt;=T$9+6,$E14&gt;=T$9),IF($G14="Milestone","M",1),"")</x:f>
      </x:c>
      <x:c r="U14" s="29" t="str">
        <x:f t="shared" si="4">IF(AND(OR($I14="OK",$I14="Outside view"),$D14&lt;=U$9+6,$E14&gt;=U$9),IF($G14="Milestone","M",1),"")</x:f>
      </x:c>
      <x:c r="V14" s="29" t="str">
        <x:f t="shared" si="4">IF(AND(OR($I14="OK",$I14="Outside view"),$D14&lt;=V$9+6,$E14&gt;=V$9),IF($G14="Milestone","M",1),"")</x:f>
      </x:c>
      <x:c r="W14" s="29" t="str">
        <x:f t="shared" si="4">IF(AND(OR($I14="OK",$I14="Outside view"),$D14&lt;=W$9+6,$E14&gt;=W$9),IF($G14="Milestone","M",1),"")</x:f>
      </x:c>
      <x:c r="X14" s="29" t="str">
        <x:f t="shared" si="4">IF(AND(OR($I14="OK",$I14="Outside view"),$D14&lt;=X$9+6,$E14&gt;=X$9),IF($G14="Milestone","M",1),"")</x:f>
      </x:c>
      <x:c r="Y14" s="29" t="str">
        <x:f t="shared" si="4">IF(AND(OR($I14="OK",$I14="Outside view"),$D14&lt;=Y$9+6,$E14&gt;=Y$9),IF($G14="Milestone","M",1),"")</x:f>
      </x:c>
      <x:c r="Z14" s="29" t="str">
        <x:f t="shared" si="4">IF(AND(OR($I14="OK",$I14="Outside view"),$D14&lt;=Z$9+6,$E14&gt;=Z$9),IF($G14="Milestone","M",1),"")</x:f>
      </x:c>
      <x:c r="AA14" s="29" t="str">
        <x:f t="shared" si="4">IF(AND(OR($I14="OK",$I14="Outside view"),$D14&lt;=AA$9+6,$E14&gt;=AA$9),IF($G14="Milestone","M",1),"")</x:f>
      </x:c>
      <x:c r="AB14" s="29" t="str">
        <x:f t="shared" si="4">IF(AND(OR($I14="OK",$I14="Outside view"),$D14&lt;=AB$9+6,$E14&gt;=AB$9),IF($G14="Milestone","M",1),"")</x:f>
      </x:c>
      <x:c r="AC14" s="29" t="str">
        <x:f t="shared" si="4">IF(AND(OR($I14="OK",$I14="Outside view"),$D14&lt;=AC$9+6,$E14&gt;=AC$9),IF($G14="Milestone","M",1),"")</x:f>
      </x:c>
      <x:c r="AD14" s="29" t="str">
        <x:f t="shared" si="5">IF(AND(OR($I14="OK",$I14="Outside view"),$D14&lt;=AD$9+6,$E14&gt;=AD$9),IF($G14="Milestone","M",1),"")</x:f>
      </x:c>
      <x:c r="AE14" s="29" t="str">
        <x:f t="shared" si="5">IF(AND(OR($I14="OK",$I14="Outside view"),$D14&lt;=AE$9+6,$E14&gt;=AE$9),IF($G14="Milestone","M",1),"")</x:f>
      </x:c>
      <x:c r="AF14" s="29" t="str">
        <x:f t="shared" si="5">IF(AND(OR($I14="OK",$I14="Outside view"),$D14&lt;=AF$9+6,$E14&gt;=AF$9),IF($G14="Milestone","M",1),"")</x:f>
      </x:c>
      <x:c r="AG14" s="29" t="str">
        <x:f t="shared" si="5">IF(AND(OR($I14="OK",$I14="Outside view"),$D14&lt;=AG$9+6,$E14&gt;=AG$9),IF($G14="Milestone","M",1),"")</x:f>
      </x:c>
      <x:c r="AH14" s="29" t="str">
        <x:f t="shared" si="5">IF(AND(OR($I14="OK",$I14="Outside view"),$D14&lt;=AH$9+6,$E14&gt;=AH$9),IF($G14="Milestone","M",1),"")</x:f>
      </x:c>
      <x:c r="AI14" s="29" t="str">
        <x:f t="shared" si="5">IF(AND(OR($I14="OK",$I14="Outside view"),$D14&lt;=AI$9+6,$E14&gt;=AI$9),IF($G14="Milestone","M",1),"")</x:f>
      </x:c>
      <x:c r="AJ14" s="29" t="str">
        <x:f t="shared" si="5">IF(AND(OR($I14="OK",$I14="Outside view"),$D14&lt;=AJ$9+6,$E14&gt;=AJ$9),IF($G14="Milestone","M",1),"")</x:f>
      </x:c>
      <x:c r="AK14" s="29" t="str">
        <x:f t="shared" si="5">IF(AND(OR($I14="OK",$I14="Outside view"),$D14&lt;=AK$9+6,$E14&gt;=AK$9),IF($G14="Milestone","M",1),"")</x:f>
      </x:c>
      <x:c r="AL14" s="29" t="str">
        <x:f t="shared" si="5">IF(AND(OR($I14="OK",$I14="Outside view"),$D14&lt;=AL$9+6,$E14&gt;=AL$9),IF($G14="Milestone","M",1),"")</x:f>
      </x:c>
      <x:c r="AM14" s="29" t="str">
        <x:f t="shared" si="5">IF(AND(OR($I14="OK",$I14="Outside view"),$D14&lt;=AM$9+6,$E14&gt;=AM$9),IF($G14="Milestone","M",1),"")</x:f>
      </x:c>
      <x:c r="AN14" s="29" t="str">
        <x:f t="shared" si="5">IF(AND(OR($I14="OK",$I14="Outside view"),$D14&lt;=AN$9+6,$E14&gt;=AN$9),IF($G14="Milestone","M",1),"")</x:f>
      </x:c>
      <x:c r="AO14" s="29" t="str">
        <x:f t="shared" si="5">IF(AND(OR($I14="OK",$I14="Outside view"),$D14&lt;=AO$9+6,$E14&gt;=AO$9),IF($G14="Milestone","M",1),"")</x:f>
      </x:c>
      <x:c r="AP14" s="29" t="str">
        <x:f t="shared" si="5">IF(AND(OR($I14="OK",$I14="Outside view"),$D14&lt;=AP$9+6,$E14&gt;=AP$9),IF($G14="Milestone","M",1),"")</x:f>
      </x:c>
      <x:c r="AQ14" s="29" t="str">
        <x:f t="shared" si="5">IF(AND(OR($I14="OK",$I14="Outside view"),$D14&lt;=AQ$9+6,$E14&gt;=AQ$9),IF($G14="Milestone","M",1),"")</x:f>
      </x:c>
    </x:row>
    <x:row r="15" ht="34.04999923706055" customHeight="1">
      <x:c r="A15" s="34" t="n">
        <x:v>6</x:v>
      </x:c>
      <x:c r="B15" s="34" t="str">
        <x:v>Design</x:v>
      </x:c>
      <x:c r="C15" s="35" t="str">
        <x:v>Design system and deployment architecture</x:v>
      </x:c>
      <x:c r="D15" s="10" t="n">
        <x:v>46291</x:v>
      </x:c>
      <x:c r="E15" s="10" t="n">
        <x:v>46300</x:v>
      </x:c>
      <x:c r="F15" s="1" t="n">
        <x:f t="shared" si="1">IF(OR(I15="OK",I15="Outside view"),IF(G15="Milestone",0,E15-D15+1),"")</x:f>
        <x:v>10</x:v>
      </x:c>
      <x:c r="G15" s="7" t="str">
        <x:v>Task</x:v>
      </x:c>
      <x:c r="H15" s="11"/>
      <x:c r="I15" s="1" t="str">
        <x:f t="shared" si="2">IF(OR(D15="",E15=""),"Missing dates",IF(E15&lt;D15,"Finish &lt; start",IF(AND(G15="Milestone",D15&lt;&gt;E15),"Use one date",IF(OR(D15&lt;$J$9,E15&gt;$AQ$9+6),"Outside view","OK"))))</x:f>
        <x:v>OK</x:v>
      </x:c>
      <x:c r="J15" s="30" t="str">
        <x:f t="shared" si="3">IF(AND(OR($I15="OK",$I15="Outside view"),$D15&lt;=J$9+6,$E15&gt;=J$9),IF($G15="Milestone","M",1),"")</x:f>
      </x:c>
      <x:c r="K15" s="30" t="str">
        <x:f t="shared" si="3">IF(AND(OR($I15="OK",$I15="Outside view"),$D15&lt;=K$9+6,$E15&gt;=K$9),IF($G15="Milestone","M",1),"")</x:f>
      </x:c>
      <x:c r="L15" s="30" t="n">
        <x:f t="shared" si="3">IF(AND(OR($I15="OK",$I15="Outside view"),$D15&lt;=L$9+6,$E15&gt;=L$9),IF($G15="Milestone","M",1),"")</x:f>
        <x:v>1</x:v>
      </x:c>
      <x:c r="M15" s="30" t="n">
        <x:f t="shared" si="3">IF(AND(OR($I15="OK",$I15="Outside view"),$D15&lt;=M$9+6,$E15&gt;=M$9),IF($G15="Milestone","M",1),"")</x:f>
        <x:v>1</x:v>
      </x:c>
      <x:c r="N15" s="30" t="n">
        <x:f t="shared" si="3">IF(AND(OR($I15="OK",$I15="Outside view"),$D15&lt;=N$9+6,$E15&gt;=N$9),IF($G15="Milestone","M",1),"")</x:f>
        <x:v>1</x:v>
      </x:c>
      <x:c r="O15" s="30" t="str">
        <x:f t="shared" si="3">IF(AND(OR($I15="OK",$I15="Outside view"),$D15&lt;=O$9+6,$E15&gt;=O$9),IF($G15="Milestone","M",1),"")</x:f>
      </x:c>
      <x:c r="P15" s="30" t="str">
        <x:f t="shared" si="3">IF(AND(OR($I15="OK",$I15="Outside view"),$D15&lt;=P$9+6,$E15&gt;=P$9),IF($G15="Milestone","M",1),"")</x:f>
      </x:c>
      <x:c r="Q15" s="30" t="str">
        <x:f t="shared" si="3">IF(AND(OR($I15="OK",$I15="Outside view"),$D15&lt;=Q$9+6,$E15&gt;=Q$9),IF($G15="Milestone","M",1),"")</x:f>
      </x:c>
      <x:c r="R15" s="30" t="str">
        <x:f t="shared" si="3">IF(AND(OR($I15="OK",$I15="Outside view"),$D15&lt;=R$9+6,$E15&gt;=R$9),IF($G15="Milestone","M",1),"")</x:f>
      </x:c>
      <x:c r="S15" s="30" t="str">
        <x:f t="shared" si="3">IF(AND(OR($I15="OK",$I15="Outside view"),$D15&lt;=S$9+6,$E15&gt;=S$9),IF($G15="Milestone","M",1),"")</x:f>
      </x:c>
      <x:c r="T15" s="30" t="str">
        <x:f t="shared" si="4">IF(AND(OR($I15="OK",$I15="Outside view"),$D15&lt;=T$9+6,$E15&gt;=T$9),IF($G15="Milestone","M",1),"")</x:f>
      </x:c>
      <x:c r="U15" s="30" t="str">
        <x:f t="shared" si="4">IF(AND(OR($I15="OK",$I15="Outside view"),$D15&lt;=U$9+6,$E15&gt;=U$9),IF($G15="Milestone","M",1),"")</x:f>
      </x:c>
      <x:c r="V15" s="30" t="str">
        <x:f t="shared" si="4">IF(AND(OR($I15="OK",$I15="Outside view"),$D15&lt;=V$9+6,$E15&gt;=V$9),IF($G15="Milestone","M",1),"")</x:f>
      </x:c>
      <x:c r="W15" s="30" t="str">
        <x:f t="shared" si="4">IF(AND(OR($I15="OK",$I15="Outside view"),$D15&lt;=W$9+6,$E15&gt;=W$9),IF($G15="Milestone","M",1),"")</x:f>
      </x:c>
      <x:c r="X15" s="30" t="str">
        <x:f t="shared" si="4">IF(AND(OR($I15="OK",$I15="Outside view"),$D15&lt;=X$9+6,$E15&gt;=X$9),IF($G15="Milestone","M",1),"")</x:f>
      </x:c>
      <x:c r="Y15" s="30" t="str">
        <x:f t="shared" si="4">IF(AND(OR($I15="OK",$I15="Outside view"),$D15&lt;=Y$9+6,$E15&gt;=Y$9),IF($G15="Milestone","M",1),"")</x:f>
      </x:c>
      <x:c r="Z15" s="30" t="str">
        <x:f t="shared" si="4">IF(AND(OR($I15="OK",$I15="Outside view"),$D15&lt;=Z$9+6,$E15&gt;=Z$9),IF($G15="Milestone","M",1),"")</x:f>
      </x:c>
      <x:c r="AA15" s="30" t="str">
        <x:f t="shared" si="4">IF(AND(OR($I15="OK",$I15="Outside view"),$D15&lt;=AA$9+6,$E15&gt;=AA$9),IF($G15="Milestone","M",1),"")</x:f>
      </x:c>
      <x:c r="AB15" s="30" t="str">
        <x:f t="shared" si="4">IF(AND(OR($I15="OK",$I15="Outside view"),$D15&lt;=AB$9+6,$E15&gt;=AB$9),IF($G15="Milestone","M",1),"")</x:f>
      </x:c>
      <x:c r="AC15" s="30" t="str">
        <x:f t="shared" si="4">IF(AND(OR($I15="OK",$I15="Outside view"),$D15&lt;=AC$9+6,$E15&gt;=AC$9),IF($G15="Milestone","M",1),"")</x:f>
      </x:c>
      <x:c r="AD15" s="30" t="str">
        <x:f t="shared" si="5">IF(AND(OR($I15="OK",$I15="Outside view"),$D15&lt;=AD$9+6,$E15&gt;=AD$9),IF($G15="Milestone","M",1),"")</x:f>
      </x:c>
      <x:c r="AE15" s="30" t="str">
        <x:f t="shared" si="5">IF(AND(OR($I15="OK",$I15="Outside view"),$D15&lt;=AE$9+6,$E15&gt;=AE$9),IF($G15="Milestone","M",1),"")</x:f>
      </x:c>
      <x:c r="AF15" s="30" t="str">
        <x:f t="shared" si="5">IF(AND(OR($I15="OK",$I15="Outside view"),$D15&lt;=AF$9+6,$E15&gt;=AF$9),IF($G15="Milestone","M",1),"")</x:f>
      </x:c>
      <x:c r="AG15" s="30" t="str">
        <x:f t="shared" si="5">IF(AND(OR($I15="OK",$I15="Outside view"),$D15&lt;=AG$9+6,$E15&gt;=AG$9),IF($G15="Milestone","M",1),"")</x:f>
      </x:c>
      <x:c r="AH15" s="30" t="str">
        <x:f t="shared" si="5">IF(AND(OR($I15="OK",$I15="Outside view"),$D15&lt;=AH$9+6,$E15&gt;=AH$9),IF($G15="Milestone","M",1),"")</x:f>
      </x:c>
      <x:c r="AI15" s="30" t="str">
        <x:f t="shared" si="5">IF(AND(OR($I15="OK",$I15="Outside view"),$D15&lt;=AI$9+6,$E15&gt;=AI$9),IF($G15="Milestone","M",1),"")</x:f>
      </x:c>
      <x:c r="AJ15" s="30" t="str">
        <x:f t="shared" si="5">IF(AND(OR($I15="OK",$I15="Outside view"),$D15&lt;=AJ$9+6,$E15&gt;=AJ$9),IF($G15="Milestone","M",1),"")</x:f>
      </x:c>
      <x:c r="AK15" s="30" t="str">
        <x:f t="shared" si="5">IF(AND(OR($I15="OK",$I15="Outside view"),$D15&lt;=AK$9+6,$E15&gt;=AK$9),IF($G15="Milestone","M",1),"")</x:f>
      </x:c>
      <x:c r="AL15" s="30" t="str">
        <x:f t="shared" si="5">IF(AND(OR($I15="OK",$I15="Outside view"),$D15&lt;=AL$9+6,$E15&gt;=AL$9),IF($G15="Milestone","M",1),"")</x:f>
      </x:c>
      <x:c r="AM15" s="30" t="str">
        <x:f t="shared" si="5">IF(AND(OR($I15="OK",$I15="Outside view"),$D15&lt;=AM$9+6,$E15&gt;=AM$9),IF($G15="Milestone","M",1),"")</x:f>
      </x:c>
      <x:c r="AN15" s="30" t="str">
        <x:f t="shared" si="5">IF(AND(OR($I15="OK",$I15="Outside view"),$D15&lt;=AN$9+6,$E15&gt;=AN$9),IF($G15="Milestone","M",1),"")</x:f>
      </x:c>
      <x:c r="AO15" s="30" t="str">
        <x:f t="shared" si="5">IF(AND(OR($I15="OK",$I15="Outside view"),$D15&lt;=AO$9+6,$E15&gt;=AO$9),IF($G15="Milestone","M",1),"")</x:f>
      </x:c>
      <x:c r="AP15" s="30" t="str">
        <x:f t="shared" si="5">IF(AND(OR($I15="OK",$I15="Outside view"),$D15&lt;=AP$9+6,$E15&gt;=AP$9),IF($G15="Milestone","M",1),"")</x:f>
      </x:c>
      <x:c r="AQ15" s="30" t="str">
        <x:f t="shared" si="5">IF(AND(OR($I15="OK",$I15="Outside view"),$D15&lt;=AQ$9+6,$E15&gt;=AQ$9),IF($G15="Milestone","M",1),"")</x:f>
      </x:c>
    </x:row>
    <x:row r="16" ht="34.04999923706055" customHeight="1">
      <x:c r="A16" s="38" t="n">
        <x:v>7</x:v>
      </x:c>
      <x:c r="B16" s="38" t="str">
        <x:v>Design</x:v>
      </x:c>
      <x:c r="C16" s="33" t="str">
        <x:v>Design database, access rules and admin workflows</x:v>
      </x:c>
      <x:c r="D16" s="14" t="n">
        <x:v>46291</x:v>
      </x:c>
      <x:c r="E16" s="14" t="n">
        <x:v>46300</x:v>
      </x:c>
      <x:c r="F16" s="15" t="n">
        <x:f t="shared" si="1">IF(OR(I16="OK",I16="Outside view"),IF(G16="Milestone",0,E16-D16+1),"")</x:f>
        <x:v>10</x:v>
      </x:c>
      <x:c r="G16" s="16" t="str">
        <x:v>Task</x:v>
      </x:c>
      <x:c r="H16" s="17"/>
      <x:c r="I16" s="15" t="str">
        <x:f t="shared" si="2">IF(OR(D16="",E16=""),"Missing dates",IF(E16&lt;D16,"Finish &lt; start",IF(AND(G16="Milestone",D16&lt;&gt;E16),"Use one date",IF(OR(D16&lt;$J$9,E16&gt;$AQ$9+6),"Outside view","OK"))))</x:f>
        <x:v>OK</x:v>
      </x:c>
      <x:c r="J16" s="29" t="str">
        <x:f t="shared" si="3">IF(AND(OR($I16="OK",$I16="Outside view"),$D16&lt;=J$9+6,$E16&gt;=J$9),IF($G16="Milestone","M",1),"")</x:f>
      </x:c>
      <x:c r="K16" s="29" t="str">
        <x:f t="shared" si="3">IF(AND(OR($I16="OK",$I16="Outside view"),$D16&lt;=K$9+6,$E16&gt;=K$9),IF($G16="Milestone","M",1),"")</x:f>
      </x:c>
      <x:c r="L16" s="29" t="n">
        <x:f t="shared" si="3">IF(AND(OR($I16="OK",$I16="Outside view"),$D16&lt;=L$9+6,$E16&gt;=L$9),IF($G16="Milestone","M",1),"")</x:f>
        <x:v>1</x:v>
      </x:c>
      <x:c r="M16" s="29" t="n">
        <x:f t="shared" si="3">IF(AND(OR($I16="OK",$I16="Outside view"),$D16&lt;=M$9+6,$E16&gt;=M$9),IF($G16="Milestone","M",1),"")</x:f>
        <x:v>1</x:v>
      </x:c>
      <x:c r="N16" s="29" t="n">
        <x:f t="shared" si="3">IF(AND(OR($I16="OK",$I16="Outside view"),$D16&lt;=N$9+6,$E16&gt;=N$9),IF($G16="Milestone","M",1),"")</x:f>
        <x:v>1</x:v>
      </x:c>
      <x:c r="O16" s="29" t="str">
        <x:f t="shared" si="3">IF(AND(OR($I16="OK",$I16="Outside view"),$D16&lt;=O$9+6,$E16&gt;=O$9),IF($G16="Milestone","M",1),"")</x:f>
      </x:c>
      <x:c r="P16" s="29" t="str">
        <x:f t="shared" si="3">IF(AND(OR($I16="OK",$I16="Outside view"),$D16&lt;=P$9+6,$E16&gt;=P$9),IF($G16="Milestone","M",1),"")</x:f>
      </x:c>
      <x:c r="Q16" s="29" t="str">
        <x:f t="shared" si="3">IF(AND(OR($I16="OK",$I16="Outside view"),$D16&lt;=Q$9+6,$E16&gt;=Q$9),IF($G16="Milestone","M",1),"")</x:f>
      </x:c>
      <x:c r="R16" s="29" t="str">
        <x:f t="shared" si="3">IF(AND(OR($I16="OK",$I16="Outside view"),$D16&lt;=R$9+6,$E16&gt;=R$9),IF($G16="Milestone","M",1),"")</x:f>
      </x:c>
      <x:c r="S16" s="29" t="str">
        <x:f t="shared" si="3">IF(AND(OR($I16="OK",$I16="Outside view"),$D16&lt;=S$9+6,$E16&gt;=S$9),IF($G16="Milestone","M",1),"")</x:f>
      </x:c>
      <x:c r="T16" s="29" t="str">
        <x:f t="shared" si="4">IF(AND(OR($I16="OK",$I16="Outside view"),$D16&lt;=T$9+6,$E16&gt;=T$9),IF($G16="Milestone","M",1),"")</x:f>
      </x:c>
      <x:c r="U16" s="29" t="str">
        <x:f t="shared" si="4">IF(AND(OR($I16="OK",$I16="Outside view"),$D16&lt;=U$9+6,$E16&gt;=U$9),IF($G16="Milestone","M",1),"")</x:f>
      </x:c>
      <x:c r="V16" s="29" t="str">
        <x:f t="shared" si="4">IF(AND(OR($I16="OK",$I16="Outside view"),$D16&lt;=V$9+6,$E16&gt;=V$9),IF($G16="Milestone","M",1),"")</x:f>
      </x:c>
      <x:c r="W16" s="29" t="str">
        <x:f t="shared" si="4">IF(AND(OR($I16="OK",$I16="Outside view"),$D16&lt;=W$9+6,$E16&gt;=W$9),IF($G16="Milestone","M",1),"")</x:f>
      </x:c>
      <x:c r="X16" s="29" t="str">
        <x:f t="shared" si="4">IF(AND(OR($I16="OK",$I16="Outside view"),$D16&lt;=X$9+6,$E16&gt;=X$9),IF($G16="Milestone","M",1),"")</x:f>
      </x:c>
      <x:c r="Y16" s="29" t="str">
        <x:f t="shared" si="4">IF(AND(OR($I16="OK",$I16="Outside view"),$D16&lt;=Y$9+6,$E16&gt;=Y$9),IF($G16="Milestone","M",1),"")</x:f>
      </x:c>
      <x:c r="Z16" s="29" t="str">
        <x:f t="shared" si="4">IF(AND(OR($I16="OK",$I16="Outside view"),$D16&lt;=Z$9+6,$E16&gt;=Z$9),IF($G16="Milestone","M",1),"")</x:f>
      </x:c>
      <x:c r="AA16" s="29" t="str">
        <x:f t="shared" si="4">IF(AND(OR($I16="OK",$I16="Outside view"),$D16&lt;=AA$9+6,$E16&gt;=AA$9),IF($G16="Milestone","M",1),"")</x:f>
      </x:c>
      <x:c r="AB16" s="29" t="str">
        <x:f t="shared" si="4">IF(AND(OR($I16="OK",$I16="Outside view"),$D16&lt;=AB$9+6,$E16&gt;=AB$9),IF($G16="Milestone","M",1),"")</x:f>
      </x:c>
      <x:c r="AC16" s="29" t="str">
        <x:f t="shared" si="4">IF(AND(OR($I16="OK",$I16="Outside view"),$D16&lt;=AC$9+6,$E16&gt;=AC$9),IF($G16="Milestone","M",1),"")</x:f>
      </x:c>
      <x:c r="AD16" s="29" t="str">
        <x:f t="shared" si="5">IF(AND(OR($I16="OK",$I16="Outside view"),$D16&lt;=AD$9+6,$E16&gt;=AD$9),IF($G16="Milestone","M",1),"")</x:f>
      </x:c>
      <x:c r="AE16" s="29" t="str">
        <x:f t="shared" si="5">IF(AND(OR($I16="OK",$I16="Outside view"),$D16&lt;=AE$9+6,$E16&gt;=AE$9),IF($G16="Milestone","M",1),"")</x:f>
      </x:c>
      <x:c r="AF16" s="29" t="str">
        <x:f t="shared" si="5">IF(AND(OR($I16="OK",$I16="Outside view"),$D16&lt;=AF$9+6,$E16&gt;=AF$9),IF($G16="Milestone","M",1),"")</x:f>
      </x:c>
      <x:c r="AG16" s="29" t="str">
        <x:f t="shared" si="5">IF(AND(OR($I16="OK",$I16="Outside view"),$D16&lt;=AG$9+6,$E16&gt;=AG$9),IF($G16="Milestone","M",1),"")</x:f>
      </x:c>
      <x:c r="AH16" s="29" t="str">
        <x:f t="shared" si="5">IF(AND(OR($I16="OK",$I16="Outside view"),$D16&lt;=AH$9+6,$E16&gt;=AH$9),IF($G16="Milestone","M",1),"")</x:f>
      </x:c>
      <x:c r="AI16" s="29" t="str">
        <x:f t="shared" si="5">IF(AND(OR($I16="OK",$I16="Outside view"),$D16&lt;=AI$9+6,$E16&gt;=AI$9),IF($G16="Milestone","M",1),"")</x:f>
      </x:c>
      <x:c r="AJ16" s="29" t="str">
        <x:f t="shared" si="5">IF(AND(OR($I16="OK",$I16="Outside view"),$D16&lt;=AJ$9+6,$E16&gt;=AJ$9),IF($G16="Milestone","M",1),"")</x:f>
      </x:c>
      <x:c r="AK16" s="29" t="str">
        <x:f t="shared" si="5">IF(AND(OR($I16="OK",$I16="Outside view"),$D16&lt;=AK$9+6,$E16&gt;=AK$9),IF($G16="Milestone","M",1),"")</x:f>
      </x:c>
      <x:c r="AL16" s="29" t="str">
        <x:f t="shared" si="5">IF(AND(OR($I16="OK",$I16="Outside view"),$D16&lt;=AL$9+6,$E16&gt;=AL$9),IF($G16="Milestone","M",1),"")</x:f>
      </x:c>
      <x:c r="AM16" s="29" t="str">
        <x:f t="shared" si="5">IF(AND(OR($I16="OK",$I16="Outside view"),$D16&lt;=AM$9+6,$E16&gt;=AM$9),IF($G16="Milestone","M",1),"")</x:f>
      </x:c>
      <x:c r="AN16" s="29" t="str">
        <x:f t="shared" si="5">IF(AND(OR($I16="OK",$I16="Outside view"),$D16&lt;=AN$9+6,$E16&gt;=AN$9),IF($G16="Milestone","M",1),"")</x:f>
      </x:c>
      <x:c r="AO16" s="29" t="str">
        <x:f t="shared" si="5">IF(AND(OR($I16="OK",$I16="Outside view"),$D16&lt;=AO$9+6,$E16&gt;=AO$9),IF($G16="Milestone","M",1),"")</x:f>
      </x:c>
      <x:c r="AP16" s="29" t="str">
        <x:f t="shared" si="5">IF(AND(OR($I16="OK",$I16="Outside view"),$D16&lt;=AP$9+6,$E16&gt;=AP$9),IF($G16="Milestone","M",1),"")</x:f>
      </x:c>
      <x:c r="AQ16" s="29" t="str">
        <x:f t="shared" si="5">IF(AND(OR($I16="OK",$I16="Outside view"),$D16&lt;=AQ$9+6,$E16&gt;=AQ$9),IF($G16="Milestone","M",1),"")</x:f>
      </x:c>
    </x:row>
    <x:row r="17" ht="34.04999923706055" customHeight="1">
      <x:c r="A17" s="34" t="n">
        <x:v>8</x:v>
      </x:c>
      <x:c r="B17" s="34" t="str">
        <x:v>Design</x:v>
      </x:c>
      <x:c r="C17" s="39" t="str">
        <x:v>Complete requirements and design documentation</x:v>
      </x:c>
      <x:c r="D17" s="10" t="n">
        <x:v>46356</x:v>
      </x:c>
      <x:c r="E17" s="10" t="n">
        <x:v>46356</x:v>
      </x:c>
      <x:c r="F17" s="1" t="n">
        <x:f t="shared" si="1">IF(OR(I17="OK",I17="Outside view"),IF(G17="Milestone",0,E17-D17+1),"")</x:f>
        <x:v>0</x:v>
      </x:c>
      <x:c r="G17" s="7" t="str">
        <x:v>Milestone</x:v>
      </x:c>
      <x:c r="H17" s="11"/>
      <x:c r="I17" s="1" t="str">
        <x:f t="shared" si="2">IF(OR(D17="",E17=""),"Missing dates",IF(E17&lt;D17,"Finish &lt; start",IF(AND(G17="Milestone",D17&lt;&gt;E17),"Use one date",IF(OR(D17&lt;$J$9,E17&gt;$AQ$9+6),"Outside view","OK"))))</x:f>
        <x:v>OK</x:v>
      </x:c>
      <x:c r="J17" s="30" t="str">
        <x:f t="shared" si="3">IF(AND(OR($I17="OK",$I17="Outside view"),$D17&lt;=J$9+6,$E17&gt;=J$9),IF($G17="Milestone","M",1),"")</x:f>
      </x:c>
      <x:c r="K17" s="30" t="str">
        <x:f t="shared" si="3">IF(AND(OR($I17="OK",$I17="Outside view"),$D17&lt;=K$9+6,$E17&gt;=K$9),IF($G17="Milestone","M",1),"")</x:f>
      </x:c>
      <x:c r="L17" s="30" t="str">
        <x:f t="shared" si="3">IF(AND(OR($I17="OK",$I17="Outside view"),$D17&lt;=L$9+6,$E17&gt;=L$9),IF($G17="Milestone","M",1),"")</x:f>
      </x:c>
      <x:c r="M17" s="30" t="str">
        <x:f t="shared" si="3">IF(AND(OR($I17="OK",$I17="Outside view"),$D17&lt;=M$9+6,$E17&gt;=M$9),IF($G17="Milestone","M",1),"")</x:f>
      </x:c>
      <x:c r="N17" s="30" t="str">
        <x:f t="shared" si="3">IF(AND(OR($I17="OK",$I17="Outside view"),$D17&lt;=N$9+6,$E17&gt;=N$9),IF($G17="Milestone","M",1),"")</x:f>
      </x:c>
      <x:c r="O17" s="30" t="str">
        <x:f t="shared" si="3">IF(AND(OR($I17="OK",$I17="Outside view"),$D17&lt;=O$9+6,$E17&gt;=O$9),IF($G17="Milestone","M",1),"")</x:f>
      </x:c>
      <x:c r="P17" s="30" t="str">
        <x:f t="shared" si="3">IF(AND(OR($I17="OK",$I17="Outside view"),$D17&lt;=P$9+6,$E17&gt;=P$9),IF($G17="Milestone","M",1),"")</x:f>
      </x:c>
      <x:c r="Q17" s="30" t="str">
        <x:f t="shared" si="3">IF(AND(OR($I17="OK",$I17="Outside view"),$D17&lt;=Q$9+6,$E17&gt;=Q$9),IF($G17="Milestone","M",1),"")</x:f>
      </x:c>
      <x:c r="R17" s="30" t="str">
        <x:f t="shared" si="3">IF(AND(OR($I17="OK",$I17="Outside view"),$D17&lt;=R$9+6,$E17&gt;=R$9),IF($G17="Milestone","M",1),"")</x:f>
      </x:c>
      <x:c r="S17" s="30" t="str">
        <x:f t="shared" si="3">IF(AND(OR($I17="OK",$I17="Outside view"),$D17&lt;=S$9+6,$E17&gt;=S$9),IF($G17="Milestone","M",1),"")</x:f>
      </x:c>
      <x:c r="T17" s="30" t="str">
        <x:f t="shared" si="4">IF(AND(OR($I17="OK",$I17="Outside view"),$D17&lt;=T$9+6,$E17&gt;=T$9),IF($G17="Milestone","M",1),"")</x:f>
      </x:c>
      <x:c r="U17" s="30" t="str">
        <x:f t="shared" si="4">IF(AND(OR($I17="OK",$I17="Outside view"),$D17&lt;=U$9+6,$E17&gt;=U$9),IF($G17="Milestone","M",1),"")</x:f>
      </x:c>
      <x:c r="V17" s="30" t="str">
        <x:f t="shared" si="4">IF(AND(OR($I17="OK",$I17="Outside view"),$D17&lt;=V$9+6,$E17&gt;=V$9),IF($G17="Milestone","M",1),"")</x:f>
        <x:v>M</x:v>
      </x:c>
      <x:c r="W17" s="30" t="str">
        <x:f t="shared" si="4">IF(AND(OR($I17="OK",$I17="Outside view"),$D17&lt;=W$9+6,$E17&gt;=W$9),IF($G17="Milestone","M",1),"")</x:f>
      </x:c>
      <x:c r="X17" s="30" t="str">
        <x:f t="shared" si="4">IF(AND(OR($I17="OK",$I17="Outside view"),$D17&lt;=X$9+6,$E17&gt;=X$9),IF($G17="Milestone","M",1),"")</x:f>
      </x:c>
      <x:c r="Y17" s="30" t="str">
        <x:f t="shared" si="4">IF(AND(OR($I17="OK",$I17="Outside view"),$D17&lt;=Y$9+6,$E17&gt;=Y$9),IF($G17="Milestone","M",1),"")</x:f>
      </x:c>
      <x:c r="Z17" s="30" t="str">
        <x:f t="shared" si="4">IF(AND(OR($I17="OK",$I17="Outside view"),$D17&lt;=Z$9+6,$E17&gt;=Z$9),IF($G17="Milestone","M",1),"")</x:f>
      </x:c>
      <x:c r="AA17" s="30" t="str">
        <x:f t="shared" si="4">IF(AND(OR($I17="OK",$I17="Outside view"),$D17&lt;=AA$9+6,$E17&gt;=AA$9),IF($G17="Milestone","M",1),"")</x:f>
      </x:c>
      <x:c r="AB17" s="30" t="str">
        <x:f t="shared" si="4">IF(AND(OR($I17="OK",$I17="Outside view"),$D17&lt;=AB$9+6,$E17&gt;=AB$9),IF($G17="Milestone","M",1),"")</x:f>
      </x:c>
      <x:c r="AC17" s="30" t="str">
        <x:f t="shared" si="4">IF(AND(OR($I17="OK",$I17="Outside view"),$D17&lt;=AC$9+6,$E17&gt;=AC$9),IF($G17="Milestone","M",1),"")</x:f>
      </x:c>
      <x:c r="AD17" s="30" t="str">
        <x:f t="shared" si="5">IF(AND(OR($I17="OK",$I17="Outside view"),$D17&lt;=AD$9+6,$E17&gt;=AD$9),IF($G17="Milestone","M",1),"")</x:f>
      </x:c>
      <x:c r="AE17" s="30" t="str">
        <x:f t="shared" si="5">IF(AND(OR($I17="OK",$I17="Outside view"),$D17&lt;=AE$9+6,$E17&gt;=AE$9),IF($G17="Milestone","M",1),"")</x:f>
      </x:c>
      <x:c r="AF17" s="30" t="str">
        <x:f t="shared" si="5">IF(AND(OR($I17="OK",$I17="Outside view"),$D17&lt;=AF$9+6,$E17&gt;=AF$9),IF($G17="Milestone","M",1),"")</x:f>
      </x:c>
      <x:c r="AG17" s="30" t="str">
        <x:f t="shared" si="5">IF(AND(OR($I17="OK",$I17="Outside view"),$D17&lt;=AG$9+6,$E17&gt;=AG$9),IF($G17="Milestone","M",1),"")</x:f>
      </x:c>
      <x:c r="AH17" s="30" t="str">
        <x:f t="shared" si="5">IF(AND(OR($I17="OK",$I17="Outside view"),$D17&lt;=AH$9+6,$E17&gt;=AH$9),IF($G17="Milestone","M",1),"")</x:f>
      </x:c>
      <x:c r="AI17" s="30" t="str">
        <x:f t="shared" si="5">IF(AND(OR($I17="OK",$I17="Outside view"),$D17&lt;=AI$9+6,$E17&gt;=AI$9),IF($G17="Milestone","M",1),"")</x:f>
      </x:c>
      <x:c r="AJ17" s="30" t="str">
        <x:f t="shared" si="5">IF(AND(OR($I17="OK",$I17="Outside view"),$D17&lt;=AJ$9+6,$E17&gt;=AJ$9),IF($G17="Milestone","M",1),"")</x:f>
      </x:c>
      <x:c r="AK17" s="30" t="str">
        <x:f t="shared" si="5">IF(AND(OR($I17="OK",$I17="Outside view"),$D17&lt;=AK$9+6,$E17&gt;=AK$9),IF($G17="Milestone","M",1),"")</x:f>
      </x:c>
      <x:c r="AL17" s="30" t="str">
        <x:f t="shared" si="5">IF(AND(OR($I17="OK",$I17="Outside view"),$D17&lt;=AL$9+6,$E17&gt;=AL$9),IF($G17="Milestone","M",1),"")</x:f>
      </x:c>
      <x:c r="AM17" s="30" t="str">
        <x:f t="shared" si="5">IF(AND(OR($I17="OK",$I17="Outside view"),$D17&lt;=AM$9+6,$E17&gt;=AM$9),IF($G17="Milestone","M",1),"")</x:f>
      </x:c>
      <x:c r="AN17" s="30" t="str">
        <x:f t="shared" si="5">IF(AND(OR($I17="OK",$I17="Outside view"),$D17&lt;=AN$9+6,$E17&gt;=AN$9),IF($G17="Milestone","M",1),"")</x:f>
      </x:c>
      <x:c r="AO17" s="30" t="str">
        <x:f t="shared" si="5">IF(AND(OR($I17="OK",$I17="Outside view"),$D17&lt;=AO$9+6,$E17&gt;=AO$9),IF($G17="Milestone","M",1),"")</x:f>
      </x:c>
      <x:c r="AP17" s="30" t="str">
        <x:f t="shared" si="5">IF(AND(OR($I17="OK",$I17="Outside view"),$D17&lt;=AP$9+6,$E17&gt;=AP$9),IF($G17="Milestone","M",1),"")</x:f>
      </x:c>
      <x:c r="AQ17" s="30" t="str">
        <x:f t="shared" si="5">IF(AND(OR($I17="OK",$I17="Outside view"),$D17&lt;=AQ$9+6,$E17&gt;=AQ$9),IF($G17="Milestone","M",1),"")</x:f>
      </x:c>
    </x:row>
    <x:row r="18" ht="34.04999923706055" customHeight="1">
      <x:c r="A18" s="40" t="n">
        <x:v>9</x:v>
      </x:c>
      <x:c r="B18" s="40" t="str">
        <x:v>Development</x:v>
      </x:c>
      <x:c r="C18" s="35" t="str">
        <x:v>Refine the admin interface prototype</x:v>
      </x:c>
      <x:c r="D18" s="10" t="n">
        <x:v>46283</x:v>
      </x:c>
      <x:c r="E18" s="10" t="n">
        <x:v>46304</x:v>
      </x:c>
      <x:c r="F18" s="1" t="n">
        <x:f t="shared" si="1">IF(OR(I18="OK",I18="Outside view"),IF(G18="Milestone",0,E18-D18+1),"")</x:f>
        <x:v>22</x:v>
      </x:c>
      <x:c r="G18" s="7" t="str">
        <x:v>Task</x:v>
      </x:c>
      <x:c r="H18" s="11"/>
      <x:c r="I18" s="1" t="str">
        <x:f t="shared" si="2">IF(OR(D18="",E18=""),"Missing dates",IF(E18&lt;D18,"Finish &lt; start",IF(AND(G18="Milestone",D18&lt;&gt;E18),"Use one date",IF(OR(D18&lt;$J$9,E18&gt;$AQ$9+6),"Outside view","OK"))))</x:f>
        <x:v>OK</x:v>
      </x:c>
      <x:c r="J18" s="30" t="str">
        <x:f t="shared" si="3">IF(AND(OR($I18="OK",$I18="Outside view"),$D18&lt;=J$9+6,$E18&gt;=J$9),IF($G18="Milestone","M",1),"")</x:f>
      </x:c>
      <x:c r="K18" s="30" t="n">
        <x:f t="shared" si="3">IF(AND(OR($I18="OK",$I18="Outside view"),$D18&lt;=K$9+6,$E18&gt;=K$9),IF($G18="Milestone","M",1),"")</x:f>
        <x:v>1</x:v>
      </x:c>
      <x:c r="L18" s="30" t="n">
        <x:f t="shared" si="3">IF(AND(OR($I18="OK",$I18="Outside view"),$D18&lt;=L$9+6,$E18&gt;=L$9),IF($G18="Milestone","M",1),"")</x:f>
        <x:v>1</x:v>
      </x:c>
      <x:c r="M18" s="30" t="n">
        <x:f t="shared" si="3">IF(AND(OR($I18="OK",$I18="Outside view"),$D18&lt;=M$9+6,$E18&gt;=M$9),IF($G18="Milestone","M",1),"")</x:f>
        <x:v>1</x:v>
      </x:c>
      <x:c r="N18" s="30" t="n">
        <x:f t="shared" si="3">IF(AND(OR($I18="OK",$I18="Outside view"),$D18&lt;=N$9+6,$E18&gt;=N$9),IF($G18="Milestone","M",1),"")</x:f>
        <x:v>1</x:v>
      </x:c>
      <x:c r="O18" s="30" t="str">
        <x:f t="shared" si="3">IF(AND(OR($I18="OK",$I18="Outside view"),$D18&lt;=O$9+6,$E18&gt;=O$9),IF($G18="Milestone","M",1),"")</x:f>
      </x:c>
      <x:c r="P18" s="30" t="str">
        <x:f t="shared" si="3">IF(AND(OR($I18="OK",$I18="Outside view"),$D18&lt;=P$9+6,$E18&gt;=P$9),IF($G18="Milestone","M",1),"")</x:f>
      </x:c>
      <x:c r="Q18" s="30" t="str">
        <x:f t="shared" si="3">IF(AND(OR($I18="OK",$I18="Outside view"),$D18&lt;=Q$9+6,$E18&gt;=Q$9),IF($G18="Milestone","M",1),"")</x:f>
      </x:c>
      <x:c r="R18" s="30" t="str">
        <x:f t="shared" si="3">IF(AND(OR($I18="OK",$I18="Outside view"),$D18&lt;=R$9+6,$E18&gt;=R$9),IF($G18="Milestone","M",1),"")</x:f>
      </x:c>
      <x:c r="S18" s="30" t="str">
        <x:f t="shared" si="3">IF(AND(OR($I18="OK",$I18="Outside view"),$D18&lt;=S$9+6,$E18&gt;=S$9),IF($G18="Milestone","M",1),"")</x:f>
      </x:c>
      <x:c r="T18" s="30" t="str">
        <x:f t="shared" si="4">IF(AND(OR($I18="OK",$I18="Outside view"),$D18&lt;=T$9+6,$E18&gt;=T$9),IF($G18="Milestone","M",1),"")</x:f>
      </x:c>
      <x:c r="U18" s="30" t="str">
        <x:f t="shared" si="4">IF(AND(OR($I18="OK",$I18="Outside view"),$D18&lt;=U$9+6,$E18&gt;=U$9),IF($G18="Milestone","M",1),"")</x:f>
      </x:c>
      <x:c r="V18" s="30" t="str">
        <x:f t="shared" si="4">IF(AND(OR($I18="OK",$I18="Outside view"),$D18&lt;=V$9+6,$E18&gt;=V$9),IF($G18="Milestone","M",1),"")</x:f>
      </x:c>
      <x:c r="W18" s="30" t="str">
        <x:f t="shared" si="4">IF(AND(OR($I18="OK",$I18="Outside view"),$D18&lt;=W$9+6,$E18&gt;=W$9),IF($G18="Milestone","M",1),"")</x:f>
      </x:c>
      <x:c r="X18" s="30" t="str">
        <x:f t="shared" si="4">IF(AND(OR($I18="OK",$I18="Outside view"),$D18&lt;=X$9+6,$E18&gt;=X$9),IF($G18="Milestone","M",1),"")</x:f>
      </x:c>
      <x:c r="Y18" s="30" t="str">
        <x:f t="shared" si="4">IF(AND(OR($I18="OK",$I18="Outside view"),$D18&lt;=Y$9+6,$E18&gt;=Y$9),IF($G18="Milestone","M",1),"")</x:f>
      </x:c>
      <x:c r="Z18" s="30" t="str">
        <x:f t="shared" si="4">IF(AND(OR($I18="OK",$I18="Outside view"),$D18&lt;=Z$9+6,$E18&gt;=Z$9),IF($G18="Milestone","M",1),"")</x:f>
      </x:c>
      <x:c r="AA18" s="30" t="str">
        <x:f t="shared" si="4">IF(AND(OR($I18="OK",$I18="Outside view"),$D18&lt;=AA$9+6,$E18&gt;=AA$9),IF($G18="Milestone","M",1),"")</x:f>
      </x:c>
      <x:c r="AB18" s="30" t="str">
        <x:f t="shared" si="4">IF(AND(OR($I18="OK",$I18="Outside view"),$D18&lt;=AB$9+6,$E18&gt;=AB$9),IF($G18="Milestone","M",1),"")</x:f>
      </x:c>
      <x:c r="AC18" s="30" t="str">
        <x:f t="shared" si="4">IF(AND(OR($I18="OK",$I18="Outside view"),$D18&lt;=AC$9+6,$E18&gt;=AC$9),IF($G18="Milestone","M",1),"")</x:f>
      </x:c>
      <x:c r="AD18" s="30" t="str">
        <x:f t="shared" si="5">IF(AND(OR($I18="OK",$I18="Outside view"),$D18&lt;=AD$9+6,$E18&gt;=AD$9),IF($G18="Milestone","M",1),"")</x:f>
      </x:c>
      <x:c r="AE18" s="30" t="str">
        <x:f t="shared" si="5">IF(AND(OR($I18="OK",$I18="Outside view"),$D18&lt;=AE$9+6,$E18&gt;=AE$9),IF($G18="Milestone","M",1),"")</x:f>
      </x:c>
      <x:c r="AF18" s="30" t="str">
        <x:f t="shared" si="5">IF(AND(OR($I18="OK",$I18="Outside view"),$D18&lt;=AF$9+6,$E18&gt;=AF$9),IF($G18="Milestone","M",1),"")</x:f>
      </x:c>
      <x:c r="AG18" s="30" t="str">
        <x:f t="shared" si="5">IF(AND(OR($I18="OK",$I18="Outside view"),$D18&lt;=AG$9+6,$E18&gt;=AG$9),IF($G18="Milestone","M",1),"")</x:f>
      </x:c>
      <x:c r="AH18" s="30" t="str">
        <x:f t="shared" si="5">IF(AND(OR($I18="OK",$I18="Outside view"),$D18&lt;=AH$9+6,$E18&gt;=AH$9),IF($G18="Milestone","M",1),"")</x:f>
      </x:c>
      <x:c r="AI18" s="30" t="str">
        <x:f t="shared" si="5">IF(AND(OR($I18="OK",$I18="Outside view"),$D18&lt;=AI$9+6,$E18&gt;=AI$9),IF($G18="Milestone","M",1),"")</x:f>
      </x:c>
      <x:c r="AJ18" s="30" t="str">
        <x:f t="shared" si="5">IF(AND(OR($I18="OK",$I18="Outside view"),$D18&lt;=AJ$9+6,$E18&gt;=AJ$9),IF($G18="Milestone","M",1),"")</x:f>
      </x:c>
      <x:c r="AK18" s="30" t="str">
        <x:f t="shared" si="5">IF(AND(OR($I18="OK",$I18="Outside view"),$D18&lt;=AK$9+6,$E18&gt;=AK$9),IF($G18="Milestone","M",1),"")</x:f>
      </x:c>
      <x:c r="AL18" s="30" t="str">
        <x:f t="shared" si="5">IF(AND(OR($I18="OK",$I18="Outside view"),$D18&lt;=AL$9+6,$E18&gt;=AL$9),IF($G18="Milestone","M",1),"")</x:f>
      </x:c>
      <x:c r="AM18" s="30" t="str">
        <x:f t="shared" si="5">IF(AND(OR($I18="OK",$I18="Outside view"),$D18&lt;=AM$9+6,$E18&gt;=AM$9),IF($G18="Milestone","M",1),"")</x:f>
      </x:c>
      <x:c r="AN18" s="30" t="str">
        <x:f t="shared" si="5">IF(AND(OR($I18="OK",$I18="Outside view"),$D18&lt;=AN$9+6,$E18&gt;=AN$9),IF($G18="Milestone","M",1),"")</x:f>
      </x:c>
      <x:c r="AO18" s="30" t="str">
        <x:f t="shared" si="5">IF(AND(OR($I18="OK",$I18="Outside view"),$D18&lt;=AO$9+6,$E18&gt;=AO$9),IF($G18="Milestone","M",1),"")</x:f>
      </x:c>
      <x:c r="AP18" s="30" t="str">
        <x:f t="shared" si="5">IF(AND(OR($I18="OK",$I18="Outside view"),$D18&lt;=AP$9+6,$E18&gt;=AP$9),IF($G18="Milestone","M",1),"")</x:f>
      </x:c>
      <x:c r="AQ18" s="30" t="str">
        <x:f t="shared" si="5">IF(AND(OR($I18="OK",$I18="Outside view"),$D18&lt;=AQ$9+6,$E18&gt;=AQ$9),IF($G18="Milestone","M",1),"")</x:f>
      </x:c>
    </x:row>
    <x:row r="19" ht="34.04999923706055" customHeight="1">
      <x:c r="A19" s="41" t="n">
        <x:v>10</x:v>
      </x:c>
      <x:c r="B19" s="41" t="str">
        <x:v>Development</x:v>
      </x:c>
      <x:c r="C19" s="33" t="str">
        <x:v>Develop backend, database and admin login</x:v>
      </x:c>
      <x:c r="D19" s="14" t="n">
        <x:v>46293</x:v>
      </x:c>
      <x:c r="E19" s="14" t="n">
        <x:v>46339</x:v>
      </x:c>
      <x:c r="F19" s="15" t="n">
        <x:f t="shared" si="1">IF(OR(I19="OK",I19="Outside view"),IF(G19="Milestone",0,E19-D19+1),"")</x:f>
        <x:v>47</x:v>
      </x:c>
      <x:c r="G19" s="16" t="str">
        <x:v>Task</x:v>
      </x:c>
      <x:c r="H19" s="17"/>
      <x:c r="I19" s="15" t="str">
        <x:f t="shared" si="2">IF(OR(D19="",E19=""),"Missing dates",IF(E19&lt;D19,"Finish &lt; start",IF(AND(G19="Milestone",D19&lt;&gt;E19),"Use one date",IF(OR(D19&lt;$J$9,E19&gt;$AQ$9+6),"Outside view","OK"))))</x:f>
        <x:v>OK</x:v>
      </x:c>
      <x:c r="J19" s="29" t="str">
        <x:f t="shared" si="3">IF(AND(OR($I19="OK",$I19="Outside view"),$D19&lt;=J$9+6,$E19&gt;=J$9),IF($G19="Milestone","M",1),"")</x:f>
      </x:c>
      <x:c r="K19" s="29" t="str">
        <x:f t="shared" si="3">IF(AND(OR($I19="OK",$I19="Outside view"),$D19&lt;=K$9+6,$E19&gt;=K$9),IF($G19="Milestone","M",1),"")</x:f>
      </x:c>
      <x:c r="L19" s="29" t="str">
        <x:f t="shared" si="3">IF(AND(OR($I19="OK",$I19="Outside view"),$D19&lt;=L$9+6,$E19&gt;=L$9),IF($G19="Milestone","M",1),"")</x:f>
      </x:c>
      <x:c r="M19" s="29" t="n">
        <x:f t="shared" si="3">IF(AND(OR($I19="OK",$I19="Outside view"),$D19&lt;=M$9+6,$E19&gt;=M$9),IF($G19="Milestone","M",1),"")</x:f>
        <x:v>1</x:v>
      </x:c>
      <x:c r="N19" s="29" t="n">
        <x:f t="shared" si="3">IF(AND(OR($I19="OK",$I19="Outside view"),$D19&lt;=N$9+6,$E19&gt;=N$9),IF($G19="Milestone","M",1),"")</x:f>
        <x:v>1</x:v>
      </x:c>
      <x:c r="O19" s="29" t="n">
        <x:f t="shared" si="3">IF(AND(OR($I19="OK",$I19="Outside view"),$D19&lt;=O$9+6,$E19&gt;=O$9),IF($G19="Milestone","M",1),"")</x:f>
        <x:v>1</x:v>
      </x:c>
      <x:c r="P19" s="29" t="n">
        <x:f t="shared" si="3">IF(AND(OR($I19="OK",$I19="Outside view"),$D19&lt;=P$9+6,$E19&gt;=P$9),IF($G19="Milestone","M",1),"")</x:f>
        <x:v>1</x:v>
      </x:c>
      <x:c r="Q19" s="29" t="n">
        <x:f t="shared" si="3">IF(AND(OR($I19="OK",$I19="Outside view"),$D19&lt;=Q$9+6,$E19&gt;=Q$9),IF($G19="Milestone","M",1),"")</x:f>
        <x:v>1</x:v>
      </x:c>
      <x:c r="R19" s="29" t="n">
        <x:f t="shared" si="3">IF(AND(OR($I19="OK",$I19="Outside view"),$D19&lt;=R$9+6,$E19&gt;=R$9),IF($G19="Milestone","M",1),"")</x:f>
        <x:v>1</x:v>
      </x:c>
      <x:c r="S19" s="29" t="n">
        <x:f t="shared" si="3">IF(AND(OR($I19="OK",$I19="Outside view"),$D19&lt;=S$9+6,$E19&gt;=S$9),IF($G19="Milestone","M",1),"")</x:f>
        <x:v>1</x:v>
      </x:c>
      <x:c r="T19" s="29" t="str">
        <x:f t="shared" si="4">IF(AND(OR($I19="OK",$I19="Outside view"),$D19&lt;=T$9+6,$E19&gt;=T$9),IF($G19="Milestone","M",1),"")</x:f>
      </x:c>
      <x:c r="U19" s="29" t="str">
        <x:f t="shared" si="4">IF(AND(OR($I19="OK",$I19="Outside view"),$D19&lt;=U$9+6,$E19&gt;=U$9),IF($G19="Milestone","M",1),"")</x:f>
      </x:c>
      <x:c r="V19" s="29" t="str">
        <x:f t="shared" si="4">IF(AND(OR($I19="OK",$I19="Outside view"),$D19&lt;=V$9+6,$E19&gt;=V$9),IF($G19="Milestone","M",1),"")</x:f>
      </x:c>
      <x:c r="W19" s="29" t="str">
        <x:f t="shared" si="4">IF(AND(OR($I19="OK",$I19="Outside view"),$D19&lt;=W$9+6,$E19&gt;=W$9),IF($G19="Milestone","M",1),"")</x:f>
      </x:c>
      <x:c r="X19" s="29" t="str">
        <x:f t="shared" si="4">IF(AND(OR($I19="OK",$I19="Outside view"),$D19&lt;=X$9+6,$E19&gt;=X$9),IF($G19="Milestone","M",1),"")</x:f>
      </x:c>
      <x:c r="Y19" s="29" t="str">
        <x:f t="shared" si="4">IF(AND(OR($I19="OK",$I19="Outside view"),$D19&lt;=Y$9+6,$E19&gt;=Y$9),IF($G19="Milestone","M",1),"")</x:f>
      </x:c>
      <x:c r="Z19" s="29" t="str">
        <x:f t="shared" si="4">IF(AND(OR($I19="OK",$I19="Outside view"),$D19&lt;=Z$9+6,$E19&gt;=Z$9),IF($G19="Milestone","M",1),"")</x:f>
      </x:c>
      <x:c r="AA19" s="29" t="str">
        <x:f t="shared" si="4">IF(AND(OR($I19="OK",$I19="Outside view"),$D19&lt;=AA$9+6,$E19&gt;=AA$9),IF($G19="Milestone","M",1),"")</x:f>
      </x:c>
      <x:c r="AB19" s="29" t="str">
        <x:f t="shared" si="4">IF(AND(OR($I19="OK",$I19="Outside view"),$D19&lt;=AB$9+6,$E19&gt;=AB$9),IF($G19="Milestone","M",1),"")</x:f>
      </x:c>
      <x:c r="AC19" s="29" t="str">
        <x:f t="shared" si="4">IF(AND(OR($I19="OK",$I19="Outside view"),$D19&lt;=AC$9+6,$E19&gt;=AC$9),IF($G19="Milestone","M",1),"")</x:f>
      </x:c>
      <x:c r="AD19" s="29" t="str">
        <x:f t="shared" si="5">IF(AND(OR($I19="OK",$I19="Outside view"),$D19&lt;=AD$9+6,$E19&gt;=AD$9),IF($G19="Milestone","M",1),"")</x:f>
      </x:c>
      <x:c r="AE19" s="29" t="str">
        <x:f t="shared" si="5">IF(AND(OR($I19="OK",$I19="Outside view"),$D19&lt;=AE$9+6,$E19&gt;=AE$9),IF($G19="Milestone","M",1),"")</x:f>
      </x:c>
      <x:c r="AF19" s="29" t="str">
        <x:f t="shared" si="5">IF(AND(OR($I19="OK",$I19="Outside view"),$D19&lt;=AF$9+6,$E19&gt;=AF$9),IF($G19="Milestone","M",1),"")</x:f>
      </x:c>
      <x:c r="AG19" s="29" t="str">
        <x:f t="shared" si="5">IF(AND(OR($I19="OK",$I19="Outside view"),$D19&lt;=AG$9+6,$E19&gt;=AG$9),IF($G19="Milestone","M",1),"")</x:f>
      </x:c>
      <x:c r="AH19" s="29" t="str">
        <x:f t="shared" si="5">IF(AND(OR($I19="OK",$I19="Outside view"),$D19&lt;=AH$9+6,$E19&gt;=AH$9),IF($G19="Milestone","M",1),"")</x:f>
      </x:c>
      <x:c r="AI19" s="29" t="str">
        <x:f t="shared" si="5">IF(AND(OR($I19="OK",$I19="Outside view"),$D19&lt;=AI$9+6,$E19&gt;=AI$9),IF($G19="Milestone","M",1),"")</x:f>
      </x:c>
      <x:c r="AJ19" s="29" t="str">
        <x:f t="shared" si="5">IF(AND(OR($I19="OK",$I19="Outside view"),$D19&lt;=AJ$9+6,$E19&gt;=AJ$9),IF($G19="Milestone","M",1),"")</x:f>
      </x:c>
      <x:c r="AK19" s="29" t="str">
        <x:f t="shared" si="5">IF(AND(OR($I19="OK",$I19="Outside view"),$D19&lt;=AK$9+6,$E19&gt;=AK$9),IF($G19="Milestone","M",1),"")</x:f>
      </x:c>
      <x:c r="AL19" s="29" t="str">
        <x:f t="shared" si="5">IF(AND(OR($I19="OK",$I19="Outside view"),$D19&lt;=AL$9+6,$E19&gt;=AL$9),IF($G19="Milestone","M",1),"")</x:f>
      </x:c>
      <x:c r="AM19" s="29" t="str">
        <x:f t="shared" si="5">IF(AND(OR($I19="OK",$I19="Outside view"),$D19&lt;=AM$9+6,$E19&gt;=AM$9),IF($G19="Milestone","M",1),"")</x:f>
      </x:c>
      <x:c r="AN19" s="29" t="str">
        <x:f t="shared" si="5">IF(AND(OR($I19="OK",$I19="Outside view"),$D19&lt;=AN$9+6,$E19&gt;=AN$9),IF($G19="Milestone","M",1),"")</x:f>
      </x:c>
      <x:c r="AO19" s="29" t="str">
        <x:f t="shared" si="5">IF(AND(OR($I19="OK",$I19="Outside view"),$D19&lt;=AO$9+6,$E19&gt;=AO$9),IF($G19="Milestone","M",1),"")</x:f>
      </x:c>
      <x:c r="AP19" s="29" t="str">
        <x:f t="shared" si="5">IF(AND(OR($I19="OK",$I19="Outside view"),$D19&lt;=AP$9+6,$E19&gt;=AP$9),IF($G19="Milestone","M",1),"")</x:f>
      </x:c>
      <x:c r="AQ19" s="29" t="str">
        <x:f t="shared" si="5">IF(AND(OR($I19="OK",$I19="Outside view"),$D19&lt;=AQ$9+6,$E19&gt;=AQ$9),IF($G19="Milestone","M",1),"")</x:f>
      </x:c>
    </x:row>
    <x:row r="20" ht="34.04999923706055" customHeight="1">
      <x:c r="A20" s="42" t="n">
        <x:v>11</x:v>
      </x:c>
      <x:c r="B20" s="42" t="str">
        <x:v>AI model</x:v>
      </x:c>
      <x:c r="C20" s="35" t="str">
        <x:v>Obtain partner model and establish baseline</x:v>
      </x:c>
      <x:c r="D20" s="10" t="n">
        <x:v>46307</x:v>
      </x:c>
      <x:c r="E20" s="10" t="n">
        <x:v>46325</x:v>
      </x:c>
      <x:c r="F20" s="1" t="n">
        <x:f t="shared" si="1">IF(OR(I20="OK",I20="Outside view"),IF(G20="Milestone",0,E20-D20+1),"")</x:f>
        <x:v>19</x:v>
      </x:c>
      <x:c r="G20" s="7" t="str">
        <x:v>Task</x:v>
      </x:c>
      <x:c r="H20" s="11"/>
      <x:c r="I20" s="1" t="str">
        <x:f t="shared" si="2">IF(OR(D20="",E20=""),"Missing dates",IF(E20&lt;D20,"Finish &lt; start",IF(AND(G20="Milestone",D20&lt;&gt;E20),"Use one date",IF(OR(D20&lt;$J$9,E20&gt;$AQ$9+6),"Outside view","OK"))))</x:f>
        <x:v>OK</x:v>
      </x:c>
      <x:c r="J20" s="30" t="str">
        <x:f t="shared" ref="J20:S29" si="6">IF(AND(OR($I20="OK",$I20="Outside view"),$D20&lt;=J$9+6,$E20&gt;=J$9),IF($G20="Milestone","M",1),"")</x:f>
      </x:c>
      <x:c r="K20" s="30" t="str">
        <x:f t="shared" si="6">IF(AND(OR($I20="OK",$I20="Outside view"),$D20&lt;=K$9+6,$E20&gt;=K$9),IF($G20="Milestone","M",1),"")</x:f>
      </x:c>
      <x:c r="L20" s="30" t="str">
        <x:f t="shared" si="6">IF(AND(OR($I20="OK",$I20="Outside view"),$D20&lt;=L$9+6,$E20&gt;=L$9),IF($G20="Milestone","M",1),"")</x:f>
      </x:c>
      <x:c r="M20" s="30" t="str">
        <x:f t="shared" si="6">IF(AND(OR($I20="OK",$I20="Outside view"),$D20&lt;=M$9+6,$E20&gt;=M$9),IF($G20="Milestone","M",1),"")</x:f>
      </x:c>
      <x:c r="N20" s="30" t="str">
        <x:f t="shared" si="6">IF(AND(OR($I20="OK",$I20="Outside view"),$D20&lt;=N$9+6,$E20&gt;=N$9),IF($G20="Milestone","M",1),"")</x:f>
      </x:c>
      <x:c r="O20" s="30" t="n">
        <x:f t="shared" si="6">IF(AND(OR($I20="OK",$I20="Outside view"),$D20&lt;=O$9+6,$E20&gt;=O$9),IF($G20="Milestone","M",1),"")</x:f>
        <x:v>1</x:v>
      </x:c>
      <x:c r="P20" s="30" t="n">
        <x:f t="shared" si="6">IF(AND(OR($I20="OK",$I20="Outside view"),$D20&lt;=P$9+6,$E20&gt;=P$9),IF($G20="Milestone","M",1),"")</x:f>
        <x:v>1</x:v>
      </x:c>
      <x:c r="Q20" s="30" t="n">
        <x:f t="shared" si="6">IF(AND(OR($I20="OK",$I20="Outside view"),$D20&lt;=Q$9+6,$E20&gt;=Q$9),IF($G20="Milestone","M",1),"")</x:f>
        <x:v>1</x:v>
      </x:c>
      <x:c r="R20" s="30" t="str">
        <x:f t="shared" si="6">IF(AND(OR($I20="OK",$I20="Outside view"),$D20&lt;=R$9+6,$E20&gt;=R$9),IF($G20="Milestone","M",1),"")</x:f>
      </x:c>
      <x:c r="S20" s="30" t="str">
        <x:f t="shared" si="6">IF(AND(OR($I20="OK",$I20="Outside view"),$D20&lt;=S$9+6,$E20&gt;=S$9),IF($G20="Milestone","M",1),"")</x:f>
      </x:c>
      <x:c r="T20" s="30" t="str">
        <x:f t="shared" ref="T20:AC29" si="7">IF(AND(OR($I20="OK",$I20="Outside view"),$D20&lt;=T$9+6,$E20&gt;=T$9),IF($G20="Milestone","M",1),"")</x:f>
      </x:c>
      <x:c r="U20" s="30" t="str">
        <x:f t="shared" si="7">IF(AND(OR($I20="OK",$I20="Outside view"),$D20&lt;=U$9+6,$E20&gt;=U$9),IF($G20="Milestone","M",1),"")</x:f>
      </x:c>
      <x:c r="V20" s="30" t="str">
        <x:f t="shared" si="7">IF(AND(OR($I20="OK",$I20="Outside view"),$D20&lt;=V$9+6,$E20&gt;=V$9),IF($G20="Milestone","M",1),"")</x:f>
      </x:c>
      <x:c r="W20" s="30" t="str">
        <x:f t="shared" si="7">IF(AND(OR($I20="OK",$I20="Outside view"),$D20&lt;=W$9+6,$E20&gt;=W$9),IF($G20="Milestone","M",1),"")</x:f>
      </x:c>
      <x:c r="X20" s="30" t="str">
        <x:f t="shared" si="7">IF(AND(OR($I20="OK",$I20="Outside view"),$D20&lt;=X$9+6,$E20&gt;=X$9),IF($G20="Milestone","M",1),"")</x:f>
      </x:c>
      <x:c r="Y20" s="30" t="str">
        <x:f t="shared" si="7">IF(AND(OR($I20="OK",$I20="Outside view"),$D20&lt;=Y$9+6,$E20&gt;=Y$9),IF($G20="Milestone","M",1),"")</x:f>
      </x:c>
      <x:c r="Z20" s="30" t="str">
        <x:f t="shared" si="7">IF(AND(OR($I20="OK",$I20="Outside view"),$D20&lt;=Z$9+6,$E20&gt;=Z$9),IF($G20="Milestone","M",1),"")</x:f>
      </x:c>
      <x:c r="AA20" s="30" t="str">
        <x:f t="shared" si="7">IF(AND(OR($I20="OK",$I20="Outside view"),$D20&lt;=AA$9+6,$E20&gt;=AA$9),IF($G20="Milestone","M",1),"")</x:f>
      </x:c>
      <x:c r="AB20" s="30" t="str">
        <x:f t="shared" si="7">IF(AND(OR($I20="OK",$I20="Outside view"),$D20&lt;=AB$9+6,$E20&gt;=AB$9),IF($G20="Milestone","M",1),"")</x:f>
      </x:c>
      <x:c r="AC20" s="30" t="str">
        <x:f t="shared" si="7">IF(AND(OR($I20="OK",$I20="Outside view"),$D20&lt;=AC$9+6,$E20&gt;=AC$9),IF($G20="Milestone","M",1),"")</x:f>
      </x:c>
      <x:c r="AD20" s="30" t="str">
        <x:f t="shared" ref="AD20:AQ29" si="8">IF(AND(OR($I20="OK",$I20="Outside view"),$D20&lt;=AD$9+6,$E20&gt;=AD$9),IF($G20="Milestone","M",1),"")</x:f>
      </x:c>
      <x:c r="AE20" s="30" t="str">
        <x:f t="shared" si="8">IF(AND(OR($I20="OK",$I20="Outside view"),$D20&lt;=AE$9+6,$E20&gt;=AE$9),IF($G20="Milestone","M",1),"")</x:f>
      </x:c>
      <x:c r="AF20" s="30" t="str">
        <x:f t="shared" si="8">IF(AND(OR($I20="OK",$I20="Outside view"),$D20&lt;=AF$9+6,$E20&gt;=AF$9),IF($G20="Milestone","M",1),"")</x:f>
      </x:c>
      <x:c r="AG20" s="30" t="str">
        <x:f t="shared" si="8">IF(AND(OR($I20="OK",$I20="Outside view"),$D20&lt;=AG$9+6,$E20&gt;=AG$9),IF($G20="Milestone","M",1),"")</x:f>
      </x:c>
      <x:c r="AH20" s="30" t="str">
        <x:f t="shared" si="8">IF(AND(OR($I20="OK",$I20="Outside view"),$D20&lt;=AH$9+6,$E20&gt;=AH$9),IF($G20="Milestone","M",1),"")</x:f>
      </x:c>
      <x:c r="AI20" s="30" t="str">
        <x:f t="shared" si="8">IF(AND(OR($I20="OK",$I20="Outside view"),$D20&lt;=AI$9+6,$E20&gt;=AI$9),IF($G20="Milestone","M",1),"")</x:f>
      </x:c>
      <x:c r="AJ20" s="30" t="str">
        <x:f t="shared" si="8">IF(AND(OR($I20="OK",$I20="Outside view"),$D20&lt;=AJ$9+6,$E20&gt;=AJ$9),IF($G20="Milestone","M",1),"")</x:f>
      </x:c>
      <x:c r="AK20" s="30" t="str">
        <x:f t="shared" si="8">IF(AND(OR($I20="OK",$I20="Outside view"),$D20&lt;=AK$9+6,$E20&gt;=AK$9),IF($G20="Milestone","M",1),"")</x:f>
      </x:c>
      <x:c r="AL20" s="30" t="str">
        <x:f t="shared" si="8">IF(AND(OR($I20="OK",$I20="Outside view"),$D20&lt;=AL$9+6,$E20&gt;=AL$9),IF($G20="Milestone","M",1),"")</x:f>
      </x:c>
      <x:c r="AM20" s="30" t="str">
        <x:f t="shared" si="8">IF(AND(OR($I20="OK",$I20="Outside view"),$D20&lt;=AM$9+6,$E20&gt;=AM$9),IF($G20="Milestone","M",1),"")</x:f>
      </x:c>
      <x:c r="AN20" s="30" t="str">
        <x:f t="shared" si="8">IF(AND(OR($I20="OK",$I20="Outside view"),$D20&lt;=AN$9+6,$E20&gt;=AN$9),IF($G20="Milestone","M",1),"")</x:f>
      </x:c>
      <x:c r="AO20" s="30" t="str">
        <x:f t="shared" si="8">IF(AND(OR($I20="OK",$I20="Outside view"),$D20&lt;=AO$9+6,$E20&gt;=AO$9),IF($G20="Milestone","M",1),"")</x:f>
      </x:c>
      <x:c r="AP20" s="30" t="str">
        <x:f t="shared" si="8">IF(AND(OR($I20="OK",$I20="Outside view"),$D20&lt;=AP$9+6,$E20&gt;=AP$9),IF($G20="Milestone","M",1),"")</x:f>
      </x:c>
      <x:c r="AQ20" s="30" t="str">
        <x:f t="shared" si="8">IF(AND(OR($I20="OK",$I20="Outside view"),$D20&lt;=AQ$9+6,$E20&gt;=AQ$9),IF($G20="Milestone","M",1),"")</x:f>
      </x:c>
    </x:row>
    <x:row r="21" ht="34.04999923706055" customHeight="1">
      <x:c r="A21" s="42" t="n">
        <x:v>12</x:v>
      </x:c>
      <x:c r="B21" s="42" t="str">
        <x:v>AI model</x:v>
      </x:c>
      <x:c r="C21" s="35" t="str">
        <x:v>Plan plate photo collection and get permission</x:v>
      </x:c>
      <x:c r="D21" s="10" t="n">
        <x:v>46314</x:v>
      </x:c>
      <x:c r="E21" s="10" t="n">
        <x:v>46332</x:v>
      </x:c>
      <x:c r="F21" s="1" t="n">
        <x:f t="shared" si="1">IF(OR(I21="OK",I21="Outside view"),IF(G21="Milestone",0,E21-D21+1),"")</x:f>
        <x:v>19</x:v>
      </x:c>
      <x:c r="G21" s="7" t="str">
        <x:v>Task</x:v>
      </x:c>
      <x:c r="H21" s="11"/>
      <x:c r="I21" s="1" t="str">
        <x:f t="shared" si="2">IF(OR(D21="",E21=""),"Missing dates",IF(E21&lt;D21,"Finish &lt; start",IF(AND(G21="Milestone",D21&lt;&gt;E21),"Use one date",IF(OR(D21&lt;$J$9,E21&gt;$AQ$9+6),"Outside view","OK"))))</x:f>
        <x:v>OK</x:v>
      </x:c>
      <x:c r="J21" s="30" t="str">
        <x:f t="shared" si="6">IF(AND(OR($I21="OK",$I21="Outside view"),$D21&lt;=J$9+6,$E21&gt;=J$9),IF($G21="Milestone","M",1),"")</x:f>
      </x:c>
      <x:c r="K21" s="30" t="str">
        <x:f t="shared" si="6">IF(AND(OR($I21="OK",$I21="Outside view"),$D21&lt;=K$9+6,$E21&gt;=K$9),IF($G21="Milestone","M",1),"")</x:f>
      </x:c>
      <x:c r="L21" s="30" t="str">
        <x:f t="shared" si="6">IF(AND(OR($I21="OK",$I21="Outside view"),$D21&lt;=L$9+6,$E21&gt;=L$9),IF($G21="Milestone","M",1),"")</x:f>
      </x:c>
      <x:c r="M21" s="30" t="str">
        <x:f t="shared" si="6">IF(AND(OR($I21="OK",$I21="Outside view"),$D21&lt;=M$9+6,$E21&gt;=M$9),IF($G21="Milestone","M",1),"")</x:f>
      </x:c>
      <x:c r="N21" s="30" t="str">
        <x:f t="shared" si="6">IF(AND(OR($I21="OK",$I21="Outside view"),$D21&lt;=N$9+6,$E21&gt;=N$9),IF($G21="Milestone","M",1),"")</x:f>
      </x:c>
      <x:c r="O21" s="30" t="str">
        <x:f t="shared" si="6">IF(AND(OR($I21="OK",$I21="Outside view"),$D21&lt;=O$9+6,$E21&gt;=O$9),IF($G21="Milestone","M",1),"")</x:f>
      </x:c>
      <x:c r="P21" s="30" t="n">
        <x:f t="shared" si="6">IF(AND(OR($I21="OK",$I21="Outside view"),$D21&lt;=P$9+6,$E21&gt;=P$9),IF($G21="Milestone","M",1),"")</x:f>
        <x:v>1</x:v>
      </x:c>
      <x:c r="Q21" s="30" t="n">
        <x:f t="shared" si="6">IF(AND(OR($I21="OK",$I21="Outside view"),$D21&lt;=Q$9+6,$E21&gt;=Q$9),IF($G21="Milestone","M",1),"")</x:f>
        <x:v>1</x:v>
      </x:c>
      <x:c r="R21" s="30" t="n">
        <x:f t="shared" si="6">IF(AND(OR($I21="OK",$I21="Outside view"),$D21&lt;=R$9+6,$E21&gt;=R$9),IF($G21="Milestone","M",1),"")</x:f>
        <x:v>1</x:v>
      </x:c>
      <x:c r="S21" s="30" t="str">
        <x:f t="shared" si="6">IF(AND(OR($I21="OK",$I21="Outside view"),$D21&lt;=S$9+6,$E21&gt;=S$9),IF($G21="Milestone","M",1),"")</x:f>
      </x:c>
      <x:c r="T21" s="30" t="str">
        <x:f t="shared" si="7">IF(AND(OR($I21="OK",$I21="Outside view"),$D21&lt;=T$9+6,$E21&gt;=T$9),IF($G21="Milestone","M",1),"")</x:f>
      </x:c>
      <x:c r="U21" s="30" t="str">
        <x:f t="shared" si="7">IF(AND(OR($I21="OK",$I21="Outside view"),$D21&lt;=U$9+6,$E21&gt;=U$9),IF($G21="Milestone","M",1),"")</x:f>
      </x:c>
      <x:c r="V21" s="30" t="str">
        <x:f t="shared" si="7">IF(AND(OR($I21="OK",$I21="Outside view"),$D21&lt;=V$9+6,$E21&gt;=V$9),IF($G21="Milestone","M",1),"")</x:f>
      </x:c>
      <x:c r="W21" s="30" t="str">
        <x:f t="shared" si="7">IF(AND(OR($I21="OK",$I21="Outside view"),$D21&lt;=W$9+6,$E21&gt;=W$9),IF($G21="Milestone","M",1),"")</x:f>
      </x:c>
      <x:c r="X21" s="30" t="str">
        <x:f t="shared" si="7">IF(AND(OR($I21="OK",$I21="Outside view"),$D21&lt;=X$9+6,$E21&gt;=X$9),IF($G21="Milestone","M",1),"")</x:f>
      </x:c>
      <x:c r="Y21" s="30" t="str">
        <x:f t="shared" si="7">IF(AND(OR($I21="OK",$I21="Outside view"),$D21&lt;=Y$9+6,$E21&gt;=Y$9),IF($G21="Milestone","M",1),"")</x:f>
      </x:c>
      <x:c r="Z21" s="30" t="str">
        <x:f t="shared" si="7">IF(AND(OR($I21="OK",$I21="Outside view"),$D21&lt;=Z$9+6,$E21&gt;=Z$9),IF($G21="Milestone","M",1),"")</x:f>
      </x:c>
      <x:c r="AA21" s="30" t="str">
        <x:f t="shared" si="7">IF(AND(OR($I21="OK",$I21="Outside view"),$D21&lt;=AA$9+6,$E21&gt;=AA$9),IF($G21="Milestone","M",1),"")</x:f>
      </x:c>
      <x:c r="AB21" s="30" t="str">
        <x:f t="shared" si="7">IF(AND(OR($I21="OK",$I21="Outside view"),$D21&lt;=AB$9+6,$E21&gt;=AB$9),IF($G21="Milestone","M",1),"")</x:f>
      </x:c>
      <x:c r="AC21" s="30" t="str">
        <x:f t="shared" si="7">IF(AND(OR($I21="OK",$I21="Outside view"),$D21&lt;=AC$9+6,$E21&gt;=AC$9),IF($G21="Milestone","M",1),"")</x:f>
      </x:c>
      <x:c r="AD21" s="30" t="str">
        <x:f t="shared" si="8">IF(AND(OR($I21="OK",$I21="Outside view"),$D21&lt;=AD$9+6,$E21&gt;=AD$9),IF($G21="Milestone","M",1),"")</x:f>
      </x:c>
      <x:c r="AE21" s="30" t="str">
        <x:f t="shared" si="8">IF(AND(OR($I21="OK",$I21="Outside view"),$D21&lt;=AE$9+6,$E21&gt;=AE$9),IF($G21="Milestone","M",1),"")</x:f>
      </x:c>
      <x:c r="AF21" s="30" t="str">
        <x:f t="shared" si="8">IF(AND(OR($I21="OK",$I21="Outside view"),$D21&lt;=AF$9+6,$E21&gt;=AF$9),IF($G21="Milestone","M",1),"")</x:f>
      </x:c>
      <x:c r="AG21" s="30" t="str">
        <x:f t="shared" si="8">IF(AND(OR($I21="OK",$I21="Outside view"),$D21&lt;=AG$9+6,$E21&gt;=AG$9),IF($G21="Milestone","M",1),"")</x:f>
      </x:c>
      <x:c r="AH21" s="30" t="str">
        <x:f t="shared" si="8">IF(AND(OR($I21="OK",$I21="Outside view"),$D21&lt;=AH$9+6,$E21&gt;=AH$9),IF($G21="Milestone","M",1),"")</x:f>
      </x:c>
      <x:c r="AI21" s="30" t="str">
        <x:f t="shared" si="8">IF(AND(OR($I21="OK",$I21="Outside view"),$D21&lt;=AI$9+6,$E21&gt;=AI$9),IF($G21="Milestone","M",1),"")</x:f>
      </x:c>
      <x:c r="AJ21" s="30" t="str">
        <x:f t="shared" si="8">IF(AND(OR($I21="OK",$I21="Outside view"),$D21&lt;=AJ$9+6,$E21&gt;=AJ$9),IF($G21="Milestone","M",1),"")</x:f>
      </x:c>
      <x:c r="AK21" s="30" t="str">
        <x:f t="shared" si="8">IF(AND(OR($I21="OK",$I21="Outside view"),$D21&lt;=AK$9+6,$E21&gt;=AK$9),IF($G21="Milestone","M",1),"")</x:f>
      </x:c>
      <x:c r="AL21" s="30" t="str">
        <x:f t="shared" si="8">IF(AND(OR($I21="OK",$I21="Outside view"),$D21&lt;=AL$9+6,$E21&gt;=AL$9),IF($G21="Milestone","M",1),"")</x:f>
      </x:c>
      <x:c r="AM21" s="30" t="str">
        <x:f t="shared" si="8">IF(AND(OR($I21="OK",$I21="Outside view"),$D21&lt;=AM$9+6,$E21&gt;=AM$9),IF($G21="Milestone","M",1),"")</x:f>
      </x:c>
      <x:c r="AN21" s="30" t="str">
        <x:f t="shared" si="8">IF(AND(OR($I21="OK",$I21="Outside view"),$D21&lt;=AN$9+6,$E21&gt;=AN$9),IF($G21="Milestone","M",1),"")</x:f>
      </x:c>
      <x:c r="AO21" s="30" t="str">
        <x:f t="shared" si="8">IF(AND(OR($I21="OK",$I21="Outside view"),$D21&lt;=AO$9+6,$E21&gt;=AO$9),IF($G21="Milestone","M",1),"")</x:f>
      </x:c>
      <x:c r="AP21" s="30" t="str">
        <x:f t="shared" si="8">IF(AND(OR($I21="OK",$I21="Outside view"),$D21&lt;=AP$9+6,$E21&gt;=AP$9),IF($G21="Milestone","M",1),"")</x:f>
      </x:c>
      <x:c r="AQ21" s="30" t="str">
        <x:f t="shared" si="8">IF(AND(OR($I21="OK",$I21="Outside view"),$D21&lt;=AQ$9+6,$E21&gt;=AQ$9),IF($G21="Milestone","M",1),"")</x:f>
      </x:c>
    </x:row>
    <x:row r="22" ht="34.04999923706055" customHeight="1">
      <x:c r="A22" s="42" t="n">
        <x:v>13</x:v>
      </x:c>
      <x:c r="B22" s="42" t="str">
        <x:v>AI model</x:v>
      </x:c>
      <x:c r="C22" s="35" t="str">
        <x:v>Collect Malaysian plate photos and label them</x:v>
      </x:c>
      <x:c r="D22" s="10" t="n">
        <x:v>46335</x:v>
      </x:c>
      <x:c r="E22" s="10" t="n">
        <x:v>46374</x:v>
      </x:c>
      <x:c r="F22" s="1" t="n">
        <x:f t="shared" si="1">IF(OR(I22="OK",I22="Outside view"),IF(G22="Milestone",0,E22-D22+1),"")</x:f>
        <x:v>40</x:v>
      </x:c>
      <x:c r="G22" s="7" t="str">
        <x:v>Task</x:v>
      </x:c>
      <x:c r="H22" s="11"/>
      <x:c r="I22" s="1" t="str">
        <x:f t="shared" si="2">IF(OR(D22="",E22=""),"Missing dates",IF(E22&lt;D22,"Finish &lt; start",IF(AND(G22="Milestone",D22&lt;&gt;E22),"Use one date",IF(OR(D22&lt;$J$9,E22&gt;$AQ$9+6),"Outside view","OK"))))</x:f>
        <x:v>OK</x:v>
      </x:c>
      <x:c r="J22" s="30" t="str">
        <x:f t="shared" si="6">IF(AND(OR($I22="OK",$I22="Outside view"),$D22&lt;=J$9+6,$E22&gt;=J$9),IF($G22="Milestone","M",1),"")</x:f>
      </x:c>
      <x:c r="K22" s="30" t="str">
        <x:f t="shared" si="6">IF(AND(OR($I22="OK",$I22="Outside view"),$D22&lt;=K$9+6,$E22&gt;=K$9),IF($G22="Milestone","M",1),"")</x:f>
      </x:c>
      <x:c r="L22" s="30" t="str">
        <x:f t="shared" si="6">IF(AND(OR($I22="OK",$I22="Outside view"),$D22&lt;=L$9+6,$E22&gt;=L$9),IF($G22="Milestone","M",1),"")</x:f>
      </x:c>
      <x:c r="M22" s="30" t="str">
        <x:f t="shared" si="6">IF(AND(OR($I22="OK",$I22="Outside view"),$D22&lt;=M$9+6,$E22&gt;=M$9),IF($G22="Milestone","M",1),"")</x:f>
      </x:c>
      <x:c r="N22" s="30" t="str">
        <x:f t="shared" si="6">IF(AND(OR($I22="OK",$I22="Outside view"),$D22&lt;=N$9+6,$E22&gt;=N$9),IF($G22="Milestone","M",1),"")</x:f>
      </x:c>
      <x:c r="O22" s="30" t="str">
        <x:f t="shared" si="6">IF(AND(OR($I22="OK",$I22="Outside view"),$D22&lt;=O$9+6,$E22&gt;=O$9),IF($G22="Milestone","M",1),"")</x:f>
      </x:c>
      <x:c r="P22" s="30" t="str">
        <x:f t="shared" si="6">IF(AND(OR($I22="OK",$I22="Outside view"),$D22&lt;=P$9+6,$E22&gt;=P$9),IF($G22="Milestone","M",1),"")</x:f>
      </x:c>
      <x:c r="Q22" s="30" t="str">
        <x:f t="shared" si="6">IF(AND(OR($I22="OK",$I22="Outside view"),$D22&lt;=Q$9+6,$E22&gt;=Q$9),IF($G22="Milestone","M",1),"")</x:f>
      </x:c>
      <x:c r="R22" s="30" t="str">
        <x:f t="shared" si="6">IF(AND(OR($I22="OK",$I22="Outside view"),$D22&lt;=R$9+6,$E22&gt;=R$9),IF($G22="Milestone","M",1),"")</x:f>
      </x:c>
      <x:c r="S22" s="30" t="n">
        <x:f t="shared" si="6">IF(AND(OR($I22="OK",$I22="Outside view"),$D22&lt;=S$9+6,$E22&gt;=S$9),IF($G22="Milestone","M",1),"")</x:f>
        <x:v>1</x:v>
      </x:c>
      <x:c r="T22" s="30" t="n">
        <x:f t="shared" si="7">IF(AND(OR($I22="OK",$I22="Outside view"),$D22&lt;=T$9+6,$E22&gt;=T$9),IF($G22="Milestone","M",1),"")</x:f>
        <x:v>1</x:v>
      </x:c>
      <x:c r="U22" s="30" t="n">
        <x:f t="shared" si="7">IF(AND(OR($I22="OK",$I22="Outside view"),$D22&lt;=U$9+6,$E22&gt;=U$9),IF($G22="Milestone","M",1),"")</x:f>
        <x:v>1</x:v>
      </x:c>
      <x:c r="V22" s="30" t="n">
        <x:f t="shared" si="7">IF(AND(OR($I22="OK",$I22="Outside view"),$D22&lt;=V$9+6,$E22&gt;=V$9),IF($G22="Milestone","M",1),"")</x:f>
        <x:v>1</x:v>
      </x:c>
      <x:c r="W22" s="30" t="n">
        <x:f t="shared" si="7">IF(AND(OR($I22="OK",$I22="Outside view"),$D22&lt;=W$9+6,$E22&gt;=W$9),IF($G22="Milestone","M",1),"")</x:f>
        <x:v>1</x:v>
      </x:c>
      <x:c r="X22" s="30" t="n">
        <x:f t="shared" si="7">IF(AND(OR($I22="OK",$I22="Outside view"),$D22&lt;=X$9+6,$E22&gt;=X$9),IF($G22="Milestone","M",1),"")</x:f>
        <x:v>1</x:v>
      </x:c>
      <x:c r="Y22" s="30" t="str">
        <x:f t="shared" si="7">IF(AND(OR($I22="OK",$I22="Outside view"),$D22&lt;=Y$9+6,$E22&gt;=Y$9),IF($G22="Milestone","M",1),"")</x:f>
      </x:c>
      <x:c r="Z22" s="30" t="str">
        <x:f t="shared" si="7">IF(AND(OR($I22="OK",$I22="Outside view"),$D22&lt;=Z$9+6,$E22&gt;=Z$9),IF($G22="Milestone","M",1),"")</x:f>
      </x:c>
      <x:c r="AA22" s="30" t="str">
        <x:f t="shared" si="7">IF(AND(OR($I22="OK",$I22="Outside view"),$D22&lt;=AA$9+6,$E22&gt;=AA$9),IF($G22="Milestone","M",1),"")</x:f>
      </x:c>
      <x:c r="AB22" s="30" t="str">
        <x:f t="shared" si="7">IF(AND(OR($I22="OK",$I22="Outside view"),$D22&lt;=AB$9+6,$E22&gt;=AB$9),IF($G22="Milestone","M",1),"")</x:f>
      </x:c>
      <x:c r="AC22" s="30" t="str">
        <x:f t="shared" si="7">IF(AND(OR($I22="OK",$I22="Outside view"),$D22&lt;=AC$9+6,$E22&gt;=AC$9),IF($G22="Milestone","M",1),"")</x:f>
      </x:c>
      <x:c r="AD22" s="30" t="str">
        <x:f t="shared" si="8">IF(AND(OR($I22="OK",$I22="Outside view"),$D22&lt;=AD$9+6,$E22&gt;=AD$9),IF($G22="Milestone","M",1),"")</x:f>
      </x:c>
      <x:c r="AE22" s="30" t="str">
        <x:f t="shared" si="8">IF(AND(OR($I22="OK",$I22="Outside view"),$D22&lt;=AE$9+6,$E22&gt;=AE$9),IF($G22="Milestone","M",1),"")</x:f>
      </x:c>
      <x:c r="AF22" s="30" t="str">
        <x:f t="shared" si="8">IF(AND(OR($I22="OK",$I22="Outside view"),$D22&lt;=AF$9+6,$E22&gt;=AF$9),IF($G22="Milestone","M",1),"")</x:f>
      </x:c>
      <x:c r="AG22" s="30" t="str">
        <x:f t="shared" si="8">IF(AND(OR($I22="OK",$I22="Outside view"),$D22&lt;=AG$9+6,$E22&gt;=AG$9),IF($G22="Milestone","M",1),"")</x:f>
      </x:c>
      <x:c r="AH22" s="30" t="str">
        <x:f t="shared" si="8">IF(AND(OR($I22="OK",$I22="Outside view"),$D22&lt;=AH$9+6,$E22&gt;=AH$9),IF($G22="Milestone","M",1),"")</x:f>
      </x:c>
      <x:c r="AI22" s="30" t="str">
        <x:f t="shared" si="8">IF(AND(OR($I22="OK",$I22="Outside view"),$D22&lt;=AI$9+6,$E22&gt;=AI$9),IF($G22="Milestone","M",1),"")</x:f>
      </x:c>
      <x:c r="AJ22" s="30" t="str">
        <x:f t="shared" si="8">IF(AND(OR($I22="OK",$I22="Outside view"),$D22&lt;=AJ$9+6,$E22&gt;=AJ$9),IF($G22="Milestone","M",1),"")</x:f>
      </x:c>
      <x:c r="AK22" s="30" t="str">
        <x:f t="shared" si="8">IF(AND(OR($I22="OK",$I22="Outside view"),$D22&lt;=AK$9+6,$E22&gt;=AK$9),IF($G22="Milestone","M",1),"")</x:f>
      </x:c>
      <x:c r="AL22" s="30" t="str">
        <x:f t="shared" si="8">IF(AND(OR($I22="OK",$I22="Outside view"),$D22&lt;=AL$9+6,$E22&gt;=AL$9),IF($G22="Milestone","M",1),"")</x:f>
      </x:c>
      <x:c r="AM22" s="30" t="str">
        <x:f t="shared" si="8">IF(AND(OR($I22="OK",$I22="Outside view"),$D22&lt;=AM$9+6,$E22&gt;=AM$9),IF($G22="Milestone","M",1),"")</x:f>
      </x:c>
      <x:c r="AN22" s="30" t="str">
        <x:f t="shared" si="8">IF(AND(OR($I22="OK",$I22="Outside view"),$D22&lt;=AN$9+6,$E22&gt;=AN$9),IF($G22="Milestone","M",1),"")</x:f>
      </x:c>
      <x:c r="AO22" s="30" t="str">
        <x:f t="shared" si="8">IF(AND(OR($I22="OK",$I22="Outside view"),$D22&lt;=AO$9+6,$E22&gt;=AO$9),IF($G22="Milestone","M",1),"")</x:f>
      </x:c>
      <x:c r="AP22" s="30" t="str">
        <x:f t="shared" si="8">IF(AND(OR($I22="OK",$I22="Outside view"),$D22&lt;=AP$9+6,$E22&gt;=AP$9),IF($G22="Milestone","M",1),"")</x:f>
      </x:c>
      <x:c r="AQ22" s="30" t="str">
        <x:f t="shared" si="8">IF(AND(OR($I22="OK",$I22="Outside view"),$D22&lt;=AQ$9+6,$E22&gt;=AQ$9),IF($G22="Milestone","M",1),"")</x:f>
      </x:c>
    </x:row>
    <x:row r="23" ht="34.04999923706055" customHeight="1">
      <x:c r="A23" s="42" t="n">
        <x:v>14</x:v>
      </x:c>
      <x:c r="B23" s="42" t="str">
        <x:v>AI model</x:v>
      </x:c>
      <x:c r="C23" s="35" t="str">
        <x:v>Set aside test photos and make varied training copies</x:v>
      </x:c>
      <x:c r="D23" s="10" t="n">
        <x:v>46370</x:v>
      </x:c>
      <x:c r="E23" s="10" t="n">
        <x:v>46387</x:v>
      </x:c>
      <x:c r="F23" s="1" t="n">
        <x:f t="shared" si="1">IF(OR(I23="OK",I23="Outside view"),IF(G23="Milestone",0,E23-D23+1),"")</x:f>
        <x:v>18</x:v>
      </x:c>
      <x:c r="G23" s="7" t="str">
        <x:v>Task</x:v>
      </x:c>
      <x:c r="H23" s="11"/>
      <x:c r="I23" s="1" t="str">
        <x:f t="shared" si="2">IF(OR(D23="",E23=""),"Missing dates",IF(E23&lt;D23,"Finish &lt; start",IF(AND(G23="Milestone",D23&lt;&gt;E23),"Use one date",IF(OR(D23&lt;$J$9,E23&gt;$AQ$9+6),"Outside view","OK"))))</x:f>
        <x:v>OK</x:v>
      </x:c>
      <x:c r="J23" s="30" t="str">
        <x:f t="shared" si="6">IF(AND(OR($I23="OK",$I23="Outside view"),$D23&lt;=J$9+6,$E23&gt;=J$9),IF($G23="Milestone","M",1),"")</x:f>
      </x:c>
      <x:c r="K23" s="30" t="str">
        <x:f t="shared" si="6">IF(AND(OR($I23="OK",$I23="Outside view"),$D23&lt;=K$9+6,$E23&gt;=K$9),IF($G23="Milestone","M",1),"")</x:f>
      </x:c>
      <x:c r="L23" s="30" t="str">
        <x:f t="shared" si="6">IF(AND(OR($I23="OK",$I23="Outside view"),$D23&lt;=L$9+6,$E23&gt;=L$9),IF($G23="Milestone","M",1),"")</x:f>
      </x:c>
      <x:c r="M23" s="30" t="str">
        <x:f t="shared" si="6">IF(AND(OR($I23="OK",$I23="Outside view"),$D23&lt;=M$9+6,$E23&gt;=M$9),IF($G23="Milestone","M",1),"")</x:f>
      </x:c>
      <x:c r="N23" s="30" t="str">
        <x:f t="shared" si="6">IF(AND(OR($I23="OK",$I23="Outside view"),$D23&lt;=N$9+6,$E23&gt;=N$9),IF($G23="Milestone","M",1),"")</x:f>
      </x:c>
      <x:c r="O23" s="30" t="str">
        <x:f t="shared" si="6">IF(AND(OR($I23="OK",$I23="Outside view"),$D23&lt;=O$9+6,$E23&gt;=O$9),IF($G23="Milestone","M",1),"")</x:f>
      </x:c>
      <x:c r="P23" s="30" t="str">
        <x:f t="shared" si="6">IF(AND(OR($I23="OK",$I23="Outside view"),$D23&lt;=P$9+6,$E23&gt;=P$9),IF($G23="Milestone","M",1),"")</x:f>
      </x:c>
      <x:c r="Q23" s="30" t="str">
        <x:f t="shared" si="6">IF(AND(OR($I23="OK",$I23="Outside view"),$D23&lt;=Q$9+6,$E23&gt;=Q$9),IF($G23="Milestone","M",1),"")</x:f>
      </x:c>
      <x:c r="R23" s="30" t="str">
        <x:f t="shared" si="6">IF(AND(OR($I23="OK",$I23="Outside view"),$D23&lt;=R$9+6,$E23&gt;=R$9),IF($G23="Milestone","M",1),"")</x:f>
      </x:c>
      <x:c r="S23" s="30" t="str">
        <x:f t="shared" si="6">IF(AND(OR($I23="OK",$I23="Outside view"),$D23&lt;=S$9+6,$E23&gt;=S$9),IF($G23="Milestone","M",1),"")</x:f>
      </x:c>
      <x:c r="T23" s="30" t="str">
        <x:f t="shared" si="7">IF(AND(OR($I23="OK",$I23="Outside view"),$D23&lt;=T$9+6,$E23&gt;=T$9),IF($G23="Milestone","M",1),"")</x:f>
      </x:c>
      <x:c r="U23" s="30" t="str">
        <x:f t="shared" si="7">IF(AND(OR($I23="OK",$I23="Outside view"),$D23&lt;=U$9+6,$E23&gt;=U$9),IF($G23="Milestone","M",1),"")</x:f>
      </x:c>
      <x:c r="V23" s="30" t="str">
        <x:f t="shared" si="7">IF(AND(OR($I23="OK",$I23="Outside view"),$D23&lt;=V$9+6,$E23&gt;=V$9),IF($G23="Milestone","M",1),"")</x:f>
      </x:c>
      <x:c r="W23" s="30" t="str">
        <x:f t="shared" si="7">IF(AND(OR($I23="OK",$I23="Outside view"),$D23&lt;=W$9+6,$E23&gt;=W$9),IF($G23="Milestone","M",1),"")</x:f>
      </x:c>
      <x:c r="X23" s="30" t="n">
        <x:f t="shared" si="7">IF(AND(OR($I23="OK",$I23="Outside view"),$D23&lt;=X$9+6,$E23&gt;=X$9),IF($G23="Milestone","M",1),"")</x:f>
        <x:v>1</x:v>
      </x:c>
      <x:c r="Y23" s="30" t="n">
        <x:f t="shared" si="7">IF(AND(OR($I23="OK",$I23="Outside view"),$D23&lt;=Y$9+6,$E23&gt;=Y$9),IF($G23="Milestone","M",1),"")</x:f>
        <x:v>1</x:v>
      </x:c>
      <x:c r="Z23" s="30" t="n">
        <x:f t="shared" si="7">IF(AND(OR($I23="OK",$I23="Outside view"),$D23&lt;=Z$9+6,$E23&gt;=Z$9),IF($G23="Milestone","M",1),"")</x:f>
        <x:v>1</x:v>
      </x:c>
      <x:c r="AA23" s="30" t="str">
        <x:f t="shared" si="7">IF(AND(OR($I23="OK",$I23="Outside view"),$D23&lt;=AA$9+6,$E23&gt;=AA$9),IF($G23="Milestone","M",1),"")</x:f>
      </x:c>
      <x:c r="AB23" s="30" t="str">
        <x:f t="shared" si="7">IF(AND(OR($I23="OK",$I23="Outside view"),$D23&lt;=AB$9+6,$E23&gt;=AB$9),IF($G23="Milestone","M",1),"")</x:f>
      </x:c>
      <x:c r="AC23" s="30" t="str">
        <x:f t="shared" si="7">IF(AND(OR($I23="OK",$I23="Outside view"),$D23&lt;=AC$9+6,$E23&gt;=AC$9),IF($G23="Milestone","M",1),"")</x:f>
      </x:c>
      <x:c r="AD23" s="30" t="str">
        <x:f t="shared" si="8">IF(AND(OR($I23="OK",$I23="Outside view"),$D23&lt;=AD$9+6,$E23&gt;=AD$9),IF($G23="Milestone","M",1),"")</x:f>
      </x:c>
      <x:c r="AE23" s="30" t="str">
        <x:f t="shared" si="8">IF(AND(OR($I23="OK",$I23="Outside view"),$D23&lt;=AE$9+6,$E23&gt;=AE$9),IF($G23="Milestone","M",1),"")</x:f>
      </x:c>
      <x:c r="AF23" s="30" t="str">
        <x:f t="shared" si="8">IF(AND(OR($I23="OK",$I23="Outside view"),$D23&lt;=AF$9+6,$E23&gt;=AF$9),IF($G23="Milestone","M",1),"")</x:f>
      </x:c>
      <x:c r="AG23" s="30" t="str">
        <x:f t="shared" si="8">IF(AND(OR($I23="OK",$I23="Outside view"),$D23&lt;=AG$9+6,$E23&gt;=AG$9),IF($G23="Milestone","M",1),"")</x:f>
      </x:c>
      <x:c r="AH23" s="30" t="str">
        <x:f t="shared" si="8">IF(AND(OR($I23="OK",$I23="Outside view"),$D23&lt;=AH$9+6,$E23&gt;=AH$9),IF($G23="Milestone","M",1),"")</x:f>
      </x:c>
      <x:c r="AI23" s="30" t="str">
        <x:f t="shared" si="8">IF(AND(OR($I23="OK",$I23="Outside view"),$D23&lt;=AI$9+6,$E23&gt;=AI$9),IF($G23="Milestone","M",1),"")</x:f>
      </x:c>
      <x:c r="AJ23" s="30" t="str">
        <x:f t="shared" si="8">IF(AND(OR($I23="OK",$I23="Outside view"),$D23&lt;=AJ$9+6,$E23&gt;=AJ$9),IF($G23="Milestone","M",1),"")</x:f>
      </x:c>
      <x:c r="AK23" s="30" t="str">
        <x:f t="shared" si="8">IF(AND(OR($I23="OK",$I23="Outside view"),$D23&lt;=AK$9+6,$E23&gt;=AK$9),IF($G23="Milestone","M",1),"")</x:f>
      </x:c>
      <x:c r="AL23" s="30" t="str">
        <x:f t="shared" si="8">IF(AND(OR($I23="OK",$I23="Outside view"),$D23&lt;=AL$9+6,$E23&gt;=AL$9),IF($G23="Milestone","M",1),"")</x:f>
      </x:c>
      <x:c r="AM23" s="30" t="str">
        <x:f t="shared" si="8">IF(AND(OR($I23="OK",$I23="Outside view"),$D23&lt;=AM$9+6,$E23&gt;=AM$9),IF($G23="Milestone","M",1),"")</x:f>
      </x:c>
      <x:c r="AN23" s="30" t="str">
        <x:f t="shared" si="8">IF(AND(OR($I23="OK",$I23="Outside view"),$D23&lt;=AN$9+6,$E23&gt;=AN$9),IF($G23="Milestone","M",1),"")</x:f>
      </x:c>
      <x:c r="AO23" s="30" t="str">
        <x:f t="shared" si="8">IF(AND(OR($I23="OK",$I23="Outside view"),$D23&lt;=AO$9+6,$E23&gt;=AO$9),IF($G23="Milestone","M",1),"")</x:f>
      </x:c>
      <x:c r="AP23" s="30" t="str">
        <x:f t="shared" si="8">IF(AND(OR($I23="OK",$I23="Outside view"),$D23&lt;=AP$9+6,$E23&gt;=AP$9),IF($G23="Milestone","M",1),"")</x:f>
      </x:c>
      <x:c r="AQ23" s="30" t="str">
        <x:f t="shared" si="8">IF(AND(OR($I23="OK",$I23="Outside view"),$D23&lt;=AQ$9+6,$E23&gt;=AQ$9),IF($G23="Milestone","M",1),"")</x:f>
      </x:c>
    </x:row>
    <x:row r="24" ht="34.04999923706055" customHeight="1">
      <x:c r="A24" s="42" t="n">
        <x:v>15</x:v>
      </x:c>
      <x:c r="B24" s="42" t="str">
        <x:v>AI model</x:v>
      </x:c>
      <x:c r="C24" s="35" t="str">
        <x:v>Adapt and fine-tune the provided model</x:v>
      </x:c>
      <x:c r="D24" s="10" t="n">
        <x:v>46391</x:v>
      </x:c>
      <x:c r="E24" s="10" t="n">
        <x:v>46423</x:v>
      </x:c>
      <x:c r="F24" s="1" t="n">
        <x:f t="shared" si="1">IF(OR(I24="OK",I24="Outside view"),IF(G24="Milestone",0,E24-D24+1),"")</x:f>
        <x:v>33</x:v>
      </x:c>
      <x:c r="G24" s="7" t="str">
        <x:v>Task</x:v>
      </x:c>
      <x:c r="H24" s="11"/>
      <x:c r="I24" s="1" t="str">
        <x:f t="shared" si="2">IF(OR(D24="",E24=""),"Missing dates",IF(E24&lt;D24,"Finish &lt; start",IF(AND(G24="Milestone",D24&lt;&gt;E24),"Use one date",IF(OR(D24&lt;$J$9,E24&gt;$AQ$9+6),"Outside view","OK"))))</x:f>
        <x:v>OK</x:v>
      </x:c>
      <x:c r="J24" s="30" t="str">
        <x:f t="shared" si="6">IF(AND(OR($I24="OK",$I24="Outside view"),$D24&lt;=J$9+6,$E24&gt;=J$9),IF($G24="Milestone","M",1),"")</x:f>
      </x:c>
      <x:c r="K24" s="30" t="str">
        <x:f t="shared" si="6">IF(AND(OR($I24="OK",$I24="Outside view"),$D24&lt;=K$9+6,$E24&gt;=K$9),IF($G24="Milestone","M",1),"")</x:f>
      </x:c>
      <x:c r="L24" s="30" t="str">
        <x:f t="shared" si="6">IF(AND(OR($I24="OK",$I24="Outside view"),$D24&lt;=L$9+6,$E24&gt;=L$9),IF($G24="Milestone","M",1),"")</x:f>
      </x:c>
      <x:c r="M24" s="30" t="str">
        <x:f t="shared" si="6">IF(AND(OR($I24="OK",$I24="Outside view"),$D24&lt;=M$9+6,$E24&gt;=M$9),IF($G24="Milestone","M",1),"")</x:f>
      </x:c>
      <x:c r="N24" s="30" t="str">
        <x:f t="shared" si="6">IF(AND(OR($I24="OK",$I24="Outside view"),$D24&lt;=N$9+6,$E24&gt;=N$9),IF($G24="Milestone","M",1),"")</x:f>
      </x:c>
      <x:c r="O24" s="30" t="str">
        <x:f t="shared" si="6">IF(AND(OR($I24="OK",$I24="Outside view"),$D24&lt;=O$9+6,$E24&gt;=O$9),IF($G24="Milestone","M",1),"")</x:f>
      </x:c>
      <x:c r="P24" s="30" t="str">
        <x:f t="shared" si="6">IF(AND(OR($I24="OK",$I24="Outside view"),$D24&lt;=P$9+6,$E24&gt;=P$9),IF($G24="Milestone","M",1),"")</x:f>
      </x:c>
      <x:c r="Q24" s="30" t="str">
        <x:f t="shared" si="6">IF(AND(OR($I24="OK",$I24="Outside view"),$D24&lt;=Q$9+6,$E24&gt;=Q$9),IF($G24="Milestone","M",1),"")</x:f>
      </x:c>
      <x:c r="R24" s="30" t="str">
        <x:f t="shared" si="6">IF(AND(OR($I24="OK",$I24="Outside view"),$D24&lt;=R$9+6,$E24&gt;=R$9),IF($G24="Milestone","M",1),"")</x:f>
      </x:c>
      <x:c r="S24" s="30" t="str">
        <x:f t="shared" si="6">IF(AND(OR($I24="OK",$I24="Outside view"),$D24&lt;=S$9+6,$E24&gt;=S$9),IF($G24="Milestone","M",1),"")</x:f>
      </x:c>
      <x:c r="T24" s="30" t="str">
        <x:f t="shared" si="7">IF(AND(OR($I24="OK",$I24="Outside view"),$D24&lt;=T$9+6,$E24&gt;=T$9),IF($G24="Milestone","M",1),"")</x:f>
      </x:c>
      <x:c r="U24" s="30" t="str">
        <x:f t="shared" si="7">IF(AND(OR($I24="OK",$I24="Outside view"),$D24&lt;=U$9+6,$E24&gt;=U$9),IF($G24="Milestone","M",1),"")</x:f>
      </x:c>
      <x:c r="V24" s="30" t="str">
        <x:f t="shared" si="7">IF(AND(OR($I24="OK",$I24="Outside view"),$D24&lt;=V$9+6,$E24&gt;=V$9),IF($G24="Milestone","M",1),"")</x:f>
      </x:c>
      <x:c r="W24" s="30" t="str">
        <x:f t="shared" si="7">IF(AND(OR($I24="OK",$I24="Outside view"),$D24&lt;=W$9+6,$E24&gt;=W$9),IF($G24="Milestone","M",1),"")</x:f>
      </x:c>
      <x:c r="X24" s="30" t="str">
        <x:f t="shared" si="7">IF(AND(OR($I24="OK",$I24="Outside view"),$D24&lt;=X$9+6,$E24&gt;=X$9),IF($G24="Milestone","M",1),"")</x:f>
      </x:c>
      <x:c r="Y24" s="30" t="str">
        <x:f t="shared" si="7">IF(AND(OR($I24="OK",$I24="Outside view"),$D24&lt;=Y$9+6,$E24&gt;=Y$9),IF($G24="Milestone","M",1),"")</x:f>
      </x:c>
      <x:c r="Z24" s="30" t="str">
        <x:f t="shared" si="7">IF(AND(OR($I24="OK",$I24="Outside view"),$D24&lt;=Z$9+6,$E24&gt;=Z$9),IF($G24="Milestone","M",1),"")</x:f>
      </x:c>
      <x:c r="AA24" s="30" t="n">
        <x:f t="shared" si="7">IF(AND(OR($I24="OK",$I24="Outside view"),$D24&lt;=AA$9+6,$E24&gt;=AA$9),IF($G24="Milestone","M",1),"")</x:f>
        <x:v>1</x:v>
      </x:c>
      <x:c r="AB24" s="30" t="n">
        <x:f t="shared" si="7">IF(AND(OR($I24="OK",$I24="Outside view"),$D24&lt;=AB$9+6,$E24&gt;=AB$9),IF($G24="Milestone","M",1),"")</x:f>
        <x:v>1</x:v>
      </x:c>
      <x:c r="AC24" s="30" t="n">
        <x:f t="shared" si="7">IF(AND(OR($I24="OK",$I24="Outside view"),$D24&lt;=AC$9+6,$E24&gt;=AC$9),IF($G24="Milestone","M",1),"")</x:f>
        <x:v>1</x:v>
      </x:c>
      <x:c r="AD24" s="30" t="n">
        <x:f t="shared" si="8">IF(AND(OR($I24="OK",$I24="Outside view"),$D24&lt;=AD$9+6,$E24&gt;=AD$9),IF($G24="Milestone","M",1),"")</x:f>
        <x:v>1</x:v>
      </x:c>
      <x:c r="AE24" s="30" t="n">
        <x:f t="shared" si="8">IF(AND(OR($I24="OK",$I24="Outside view"),$D24&lt;=AE$9+6,$E24&gt;=AE$9),IF($G24="Milestone","M",1),"")</x:f>
        <x:v>1</x:v>
      </x:c>
      <x:c r="AF24" s="30" t="str">
        <x:f t="shared" si="8">IF(AND(OR($I24="OK",$I24="Outside view"),$D24&lt;=AF$9+6,$E24&gt;=AF$9),IF($G24="Milestone","M",1),"")</x:f>
      </x:c>
      <x:c r="AG24" s="30" t="str">
        <x:f t="shared" si="8">IF(AND(OR($I24="OK",$I24="Outside view"),$D24&lt;=AG$9+6,$E24&gt;=AG$9),IF($G24="Milestone","M",1),"")</x:f>
      </x:c>
      <x:c r="AH24" s="30" t="str">
        <x:f t="shared" si="8">IF(AND(OR($I24="OK",$I24="Outside view"),$D24&lt;=AH$9+6,$E24&gt;=AH$9),IF($G24="Milestone","M",1),"")</x:f>
      </x:c>
      <x:c r="AI24" s="30" t="str">
        <x:f t="shared" si="8">IF(AND(OR($I24="OK",$I24="Outside view"),$D24&lt;=AI$9+6,$E24&gt;=AI$9),IF($G24="Milestone","M",1),"")</x:f>
      </x:c>
      <x:c r="AJ24" s="30" t="str">
        <x:f t="shared" si="8">IF(AND(OR($I24="OK",$I24="Outside view"),$D24&lt;=AJ$9+6,$E24&gt;=AJ$9),IF($G24="Milestone","M",1),"")</x:f>
      </x:c>
      <x:c r="AK24" s="30" t="str">
        <x:f t="shared" si="8">IF(AND(OR($I24="OK",$I24="Outside view"),$D24&lt;=AK$9+6,$E24&gt;=AK$9),IF($G24="Milestone","M",1),"")</x:f>
      </x:c>
      <x:c r="AL24" s="30" t="str">
        <x:f t="shared" si="8">IF(AND(OR($I24="OK",$I24="Outside view"),$D24&lt;=AL$9+6,$E24&gt;=AL$9),IF($G24="Milestone","M",1),"")</x:f>
      </x:c>
      <x:c r="AM24" s="30" t="str">
        <x:f t="shared" si="8">IF(AND(OR($I24="OK",$I24="Outside view"),$D24&lt;=AM$9+6,$E24&gt;=AM$9),IF($G24="Milestone","M",1),"")</x:f>
      </x:c>
      <x:c r="AN24" s="30" t="str">
        <x:f t="shared" si="8">IF(AND(OR($I24="OK",$I24="Outside view"),$D24&lt;=AN$9+6,$E24&gt;=AN$9),IF($G24="Milestone","M",1),"")</x:f>
      </x:c>
      <x:c r="AO24" s="30" t="str">
        <x:f t="shared" si="8">IF(AND(OR($I24="OK",$I24="Outside view"),$D24&lt;=AO$9+6,$E24&gt;=AO$9),IF($G24="Milestone","M",1),"")</x:f>
      </x:c>
      <x:c r="AP24" s="30" t="str">
        <x:f t="shared" si="8">IF(AND(OR($I24="OK",$I24="Outside view"),$D24&lt;=AP$9+6,$E24&gt;=AP$9),IF($G24="Milestone","M",1),"")</x:f>
      </x:c>
      <x:c r="AQ24" s="30" t="str">
        <x:f t="shared" si="8">IF(AND(OR($I24="OK",$I24="Outside view"),$D24&lt;=AQ$9+6,$E24&gt;=AQ$9),IF($G24="Milestone","M",1),"")</x:f>
      </x:c>
    </x:row>
    <x:row r="25" ht="34.04999923706055" customHeight="1">
      <x:c r="A25" s="42" t="n">
        <x:v>16</x:v>
      </x:c>
      <x:c r="B25" s="42" t="str">
        <x:v>AI model</x:v>
      </x:c>
      <x:c r="C25" s="35" t="str">
        <x:v>Evaluate outdoor accuracy and analyse errors</x:v>
      </x:c>
      <x:c r="D25" s="10" t="n">
        <x:v>46426</x:v>
      </x:c>
      <x:c r="E25" s="10" t="n">
        <x:v>46444</x:v>
      </x:c>
      <x:c r="F25" s="1" t="n">
        <x:f t="shared" si="1">IF(OR(I25="OK",I25="Outside view"),IF(G25="Milestone",0,E25-D25+1),"")</x:f>
        <x:v>19</x:v>
      </x:c>
      <x:c r="G25" s="7" t="str">
        <x:v>Task</x:v>
      </x:c>
      <x:c r="H25" s="11"/>
      <x:c r="I25" s="1" t="str">
        <x:f t="shared" si="2">IF(OR(D25="",E25=""),"Missing dates",IF(E25&lt;D25,"Finish &lt; start",IF(AND(G25="Milestone",D25&lt;&gt;E25),"Use one date",IF(OR(D25&lt;$J$9,E25&gt;$AQ$9+6),"Outside view","OK"))))</x:f>
        <x:v>OK</x:v>
      </x:c>
      <x:c r="J25" s="30" t="str">
        <x:f t="shared" si="6">IF(AND(OR($I25="OK",$I25="Outside view"),$D25&lt;=J$9+6,$E25&gt;=J$9),IF($G25="Milestone","M",1),"")</x:f>
      </x:c>
      <x:c r="K25" s="30" t="str">
        <x:f t="shared" si="6">IF(AND(OR($I25="OK",$I25="Outside view"),$D25&lt;=K$9+6,$E25&gt;=K$9),IF($G25="Milestone","M",1),"")</x:f>
      </x:c>
      <x:c r="L25" s="30" t="str">
        <x:f t="shared" si="6">IF(AND(OR($I25="OK",$I25="Outside view"),$D25&lt;=L$9+6,$E25&gt;=L$9),IF($G25="Milestone","M",1),"")</x:f>
      </x:c>
      <x:c r="M25" s="30" t="str">
        <x:f t="shared" si="6">IF(AND(OR($I25="OK",$I25="Outside view"),$D25&lt;=M$9+6,$E25&gt;=M$9),IF($G25="Milestone","M",1),"")</x:f>
      </x:c>
      <x:c r="N25" s="30" t="str">
        <x:f t="shared" si="6">IF(AND(OR($I25="OK",$I25="Outside view"),$D25&lt;=N$9+6,$E25&gt;=N$9),IF($G25="Milestone","M",1),"")</x:f>
      </x:c>
      <x:c r="O25" s="30" t="str">
        <x:f t="shared" si="6">IF(AND(OR($I25="OK",$I25="Outside view"),$D25&lt;=O$9+6,$E25&gt;=O$9),IF($G25="Milestone","M",1),"")</x:f>
      </x:c>
      <x:c r="P25" s="30" t="str">
        <x:f t="shared" si="6">IF(AND(OR($I25="OK",$I25="Outside view"),$D25&lt;=P$9+6,$E25&gt;=P$9),IF($G25="Milestone","M",1),"")</x:f>
      </x:c>
      <x:c r="Q25" s="30" t="str">
        <x:f t="shared" si="6">IF(AND(OR($I25="OK",$I25="Outside view"),$D25&lt;=Q$9+6,$E25&gt;=Q$9),IF($G25="Milestone","M",1),"")</x:f>
      </x:c>
      <x:c r="R25" s="30" t="str">
        <x:f t="shared" si="6">IF(AND(OR($I25="OK",$I25="Outside view"),$D25&lt;=R$9+6,$E25&gt;=R$9),IF($G25="Milestone","M",1),"")</x:f>
      </x:c>
      <x:c r="S25" s="30" t="str">
        <x:f t="shared" si="6">IF(AND(OR($I25="OK",$I25="Outside view"),$D25&lt;=S$9+6,$E25&gt;=S$9),IF($G25="Milestone","M",1),"")</x:f>
      </x:c>
      <x:c r="T25" s="30" t="str">
        <x:f t="shared" si="7">IF(AND(OR($I25="OK",$I25="Outside view"),$D25&lt;=T$9+6,$E25&gt;=T$9),IF($G25="Milestone","M",1),"")</x:f>
      </x:c>
      <x:c r="U25" s="30" t="str">
        <x:f t="shared" si="7">IF(AND(OR($I25="OK",$I25="Outside view"),$D25&lt;=U$9+6,$E25&gt;=U$9),IF($G25="Milestone","M",1),"")</x:f>
      </x:c>
      <x:c r="V25" s="30" t="str">
        <x:f t="shared" si="7">IF(AND(OR($I25="OK",$I25="Outside view"),$D25&lt;=V$9+6,$E25&gt;=V$9),IF($G25="Milestone","M",1),"")</x:f>
      </x:c>
      <x:c r="W25" s="30" t="str">
        <x:f t="shared" si="7">IF(AND(OR($I25="OK",$I25="Outside view"),$D25&lt;=W$9+6,$E25&gt;=W$9),IF($G25="Milestone","M",1),"")</x:f>
      </x:c>
      <x:c r="X25" s="30" t="str">
        <x:f t="shared" si="7">IF(AND(OR($I25="OK",$I25="Outside view"),$D25&lt;=X$9+6,$E25&gt;=X$9),IF($G25="Milestone","M",1),"")</x:f>
      </x:c>
      <x:c r="Y25" s="30" t="str">
        <x:f t="shared" si="7">IF(AND(OR($I25="OK",$I25="Outside view"),$D25&lt;=Y$9+6,$E25&gt;=Y$9),IF($G25="Milestone","M",1),"")</x:f>
      </x:c>
      <x:c r="Z25" s="30" t="str">
        <x:f t="shared" si="7">IF(AND(OR($I25="OK",$I25="Outside view"),$D25&lt;=Z$9+6,$E25&gt;=Z$9),IF($G25="Milestone","M",1),"")</x:f>
      </x:c>
      <x:c r="AA25" s="30" t="str">
        <x:f t="shared" si="7">IF(AND(OR($I25="OK",$I25="Outside view"),$D25&lt;=AA$9+6,$E25&gt;=AA$9),IF($G25="Milestone","M",1),"")</x:f>
      </x:c>
      <x:c r="AB25" s="30" t="str">
        <x:f t="shared" si="7">IF(AND(OR($I25="OK",$I25="Outside view"),$D25&lt;=AB$9+6,$E25&gt;=AB$9),IF($G25="Milestone","M",1),"")</x:f>
      </x:c>
      <x:c r="AC25" s="30" t="str">
        <x:f t="shared" si="7">IF(AND(OR($I25="OK",$I25="Outside view"),$D25&lt;=AC$9+6,$E25&gt;=AC$9),IF($G25="Milestone","M",1),"")</x:f>
      </x:c>
      <x:c r="AD25" s="30" t="str">
        <x:f t="shared" si="8">IF(AND(OR($I25="OK",$I25="Outside view"),$D25&lt;=AD$9+6,$E25&gt;=AD$9),IF($G25="Milestone","M",1),"")</x:f>
      </x:c>
      <x:c r="AE25" s="30" t="str">
        <x:f t="shared" si="8">IF(AND(OR($I25="OK",$I25="Outside view"),$D25&lt;=AE$9+6,$E25&gt;=AE$9),IF($G25="Milestone","M",1),"")</x:f>
      </x:c>
      <x:c r="AF25" s="30" t="n">
        <x:f t="shared" si="8">IF(AND(OR($I25="OK",$I25="Outside view"),$D25&lt;=AF$9+6,$E25&gt;=AF$9),IF($G25="Milestone","M",1),"")</x:f>
        <x:v>1</x:v>
      </x:c>
      <x:c r="AG25" s="30" t="n">
        <x:f t="shared" si="8">IF(AND(OR($I25="OK",$I25="Outside view"),$D25&lt;=AG$9+6,$E25&gt;=AG$9),IF($G25="Milestone","M",1),"")</x:f>
        <x:v>1</x:v>
      </x:c>
      <x:c r="AH25" s="30" t="n">
        <x:f t="shared" si="8">IF(AND(OR($I25="OK",$I25="Outside view"),$D25&lt;=AH$9+6,$E25&gt;=AH$9),IF($G25="Milestone","M",1),"")</x:f>
        <x:v>1</x:v>
      </x:c>
      <x:c r="AI25" s="30" t="str">
        <x:f t="shared" si="8">IF(AND(OR($I25="OK",$I25="Outside view"),$D25&lt;=AI$9+6,$E25&gt;=AI$9),IF($G25="Milestone","M",1),"")</x:f>
      </x:c>
      <x:c r="AJ25" s="30" t="str">
        <x:f t="shared" si="8">IF(AND(OR($I25="OK",$I25="Outside view"),$D25&lt;=AJ$9+6,$E25&gt;=AJ$9),IF($G25="Milestone","M",1),"")</x:f>
      </x:c>
      <x:c r="AK25" s="30" t="str">
        <x:f t="shared" si="8">IF(AND(OR($I25="OK",$I25="Outside view"),$D25&lt;=AK$9+6,$E25&gt;=AK$9),IF($G25="Milestone","M",1),"")</x:f>
      </x:c>
      <x:c r="AL25" s="30" t="str">
        <x:f t="shared" si="8">IF(AND(OR($I25="OK",$I25="Outside view"),$D25&lt;=AL$9+6,$E25&gt;=AL$9),IF($G25="Milestone","M",1),"")</x:f>
      </x:c>
      <x:c r="AM25" s="30" t="str">
        <x:f t="shared" si="8">IF(AND(OR($I25="OK",$I25="Outside view"),$D25&lt;=AM$9+6,$E25&gt;=AM$9),IF($G25="Milestone","M",1),"")</x:f>
      </x:c>
      <x:c r="AN25" s="30" t="str">
        <x:f t="shared" si="8">IF(AND(OR($I25="OK",$I25="Outside view"),$D25&lt;=AN$9+6,$E25&gt;=AN$9),IF($G25="Milestone","M",1),"")</x:f>
      </x:c>
      <x:c r="AO25" s="30" t="str">
        <x:f t="shared" si="8">IF(AND(OR($I25="OK",$I25="Outside view"),$D25&lt;=AO$9+6,$E25&gt;=AO$9),IF($G25="Milestone","M",1),"")</x:f>
      </x:c>
      <x:c r="AP25" s="30" t="str">
        <x:f t="shared" si="8">IF(AND(OR($I25="OK",$I25="Outside view"),$D25&lt;=AP$9+6,$E25&gt;=AP$9),IF($G25="Milestone","M",1),"")</x:f>
      </x:c>
      <x:c r="AQ25" s="30" t="str">
        <x:f t="shared" si="8">IF(AND(OR($I25="OK",$I25="Outside view"),$D25&lt;=AQ$9+6,$E25&gt;=AQ$9),IF($G25="Milestone","M",1),"")</x:f>
      </x:c>
    </x:row>
    <x:row r="26" ht="34.04999923706055" customHeight="1">
      <x:c r="A26" s="43" t="n">
        <x:v>17</x:v>
      </x:c>
      <x:c r="B26" s="43" t="str">
        <x:v>AI model</x:v>
      </x:c>
      <x:c r="C26" s="37" t="str">
        <x:v>Complete model evaluation against 90% target</x:v>
      </x:c>
      <x:c r="D26" s="14" t="n">
        <x:v>46446</x:v>
      </x:c>
      <x:c r="E26" s="14" t="n">
        <x:v>46446</x:v>
      </x:c>
      <x:c r="F26" s="15" t="n">
        <x:f t="shared" si="1">IF(OR(I26="OK",I26="Outside view"),IF(G26="Milestone",0,E26-D26+1),"")</x:f>
        <x:v>0</x:v>
      </x:c>
      <x:c r="G26" s="16" t="str">
        <x:v>Milestone</x:v>
      </x:c>
      <x:c r="H26" s="17"/>
      <x:c r="I26" s="15" t="str">
        <x:f t="shared" si="2">IF(OR(D26="",E26=""),"Missing dates",IF(E26&lt;D26,"Finish &lt; start",IF(AND(G26="Milestone",D26&lt;&gt;E26),"Use one date",IF(OR(D26&lt;$J$9,E26&gt;$AQ$9+6),"Outside view","OK"))))</x:f>
        <x:v>OK</x:v>
      </x:c>
      <x:c r="J26" s="29" t="str">
        <x:f t="shared" si="6">IF(AND(OR($I26="OK",$I26="Outside view"),$D26&lt;=J$9+6,$E26&gt;=J$9),IF($G26="Milestone","M",1),"")</x:f>
      </x:c>
      <x:c r="K26" s="29" t="str">
        <x:f t="shared" si="6">IF(AND(OR($I26="OK",$I26="Outside view"),$D26&lt;=K$9+6,$E26&gt;=K$9),IF($G26="Milestone","M",1),"")</x:f>
      </x:c>
      <x:c r="L26" s="29" t="str">
        <x:f t="shared" si="6">IF(AND(OR($I26="OK",$I26="Outside view"),$D26&lt;=L$9+6,$E26&gt;=L$9),IF($G26="Milestone","M",1),"")</x:f>
      </x:c>
      <x:c r="M26" s="29" t="str">
        <x:f t="shared" si="6">IF(AND(OR($I26="OK",$I26="Outside view"),$D26&lt;=M$9+6,$E26&gt;=M$9),IF($G26="Milestone","M",1),"")</x:f>
      </x:c>
      <x:c r="N26" s="29" t="str">
        <x:f t="shared" si="6">IF(AND(OR($I26="OK",$I26="Outside view"),$D26&lt;=N$9+6,$E26&gt;=N$9),IF($G26="Milestone","M",1),"")</x:f>
      </x:c>
      <x:c r="O26" s="29" t="str">
        <x:f t="shared" si="6">IF(AND(OR($I26="OK",$I26="Outside view"),$D26&lt;=O$9+6,$E26&gt;=O$9),IF($G26="Milestone","M",1),"")</x:f>
      </x:c>
      <x:c r="P26" s="29" t="str">
        <x:f t="shared" si="6">IF(AND(OR($I26="OK",$I26="Outside view"),$D26&lt;=P$9+6,$E26&gt;=P$9),IF($G26="Milestone","M",1),"")</x:f>
      </x:c>
      <x:c r="Q26" s="29" t="str">
        <x:f t="shared" si="6">IF(AND(OR($I26="OK",$I26="Outside view"),$D26&lt;=Q$9+6,$E26&gt;=Q$9),IF($G26="Milestone","M",1),"")</x:f>
      </x:c>
      <x:c r="R26" s="29" t="str">
        <x:f t="shared" si="6">IF(AND(OR($I26="OK",$I26="Outside view"),$D26&lt;=R$9+6,$E26&gt;=R$9),IF($G26="Milestone","M",1),"")</x:f>
      </x:c>
      <x:c r="S26" s="29" t="str">
        <x:f t="shared" si="6">IF(AND(OR($I26="OK",$I26="Outside view"),$D26&lt;=S$9+6,$E26&gt;=S$9),IF($G26="Milestone","M",1),"")</x:f>
      </x:c>
      <x:c r="T26" s="29" t="str">
        <x:f t="shared" si="7">IF(AND(OR($I26="OK",$I26="Outside view"),$D26&lt;=T$9+6,$E26&gt;=T$9),IF($G26="Milestone","M",1),"")</x:f>
      </x:c>
      <x:c r="U26" s="29" t="str">
        <x:f t="shared" si="7">IF(AND(OR($I26="OK",$I26="Outside view"),$D26&lt;=U$9+6,$E26&gt;=U$9),IF($G26="Milestone","M",1),"")</x:f>
      </x:c>
      <x:c r="V26" s="29" t="str">
        <x:f t="shared" si="7">IF(AND(OR($I26="OK",$I26="Outside view"),$D26&lt;=V$9+6,$E26&gt;=V$9),IF($G26="Milestone","M",1),"")</x:f>
      </x:c>
      <x:c r="W26" s="29" t="str">
        <x:f t="shared" si="7">IF(AND(OR($I26="OK",$I26="Outside view"),$D26&lt;=W$9+6,$E26&gt;=W$9),IF($G26="Milestone","M",1),"")</x:f>
      </x:c>
      <x:c r="X26" s="29" t="str">
        <x:f t="shared" si="7">IF(AND(OR($I26="OK",$I26="Outside view"),$D26&lt;=X$9+6,$E26&gt;=X$9),IF($G26="Milestone","M",1),"")</x:f>
      </x:c>
      <x:c r="Y26" s="29" t="str">
        <x:f t="shared" si="7">IF(AND(OR($I26="OK",$I26="Outside view"),$D26&lt;=Y$9+6,$E26&gt;=Y$9),IF($G26="Milestone","M",1),"")</x:f>
      </x:c>
      <x:c r="Z26" s="29" t="str">
        <x:f t="shared" si="7">IF(AND(OR($I26="OK",$I26="Outside view"),$D26&lt;=Z$9+6,$E26&gt;=Z$9),IF($G26="Milestone","M",1),"")</x:f>
      </x:c>
      <x:c r="AA26" s="29" t="str">
        <x:f t="shared" si="7">IF(AND(OR($I26="OK",$I26="Outside view"),$D26&lt;=AA$9+6,$E26&gt;=AA$9),IF($G26="Milestone","M",1),"")</x:f>
      </x:c>
      <x:c r="AB26" s="29" t="str">
        <x:f t="shared" si="7">IF(AND(OR($I26="OK",$I26="Outside view"),$D26&lt;=AB$9+6,$E26&gt;=AB$9),IF($G26="Milestone","M",1),"")</x:f>
      </x:c>
      <x:c r="AC26" s="29" t="str">
        <x:f t="shared" si="7">IF(AND(OR($I26="OK",$I26="Outside view"),$D26&lt;=AC$9+6,$E26&gt;=AC$9),IF($G26="Milestone","M",1),"")</x:f>
      </x:c>
      <x:c r="AD26" s="29" t="str">
        <x:f t="shared" si="8">IF(AND(OR($I26="OK",$I26="Outside view"),$D26&lt;=AD$9+6,$E26&gt;=AD$9),IF($G26="Milestone","M",1),"")</x:f>
      </x:c>
      <x:c r="AE26" s="29" t="str">
        <x:f t="shared" si="8">IF(AND(OR($I26="OK",$I26="Outside view"),$D26&lt;=AE$9+6,$E26&gt;=AE$9),IF($G26="Milestone","M",1),"")</x:f>
      </x:c>
      <x:c r="AF26" s="29" t="str">
        <x:f t="shared" si="8">IF(AND(OR($I26="OK",$I26="Outside view"),$D26&lt;=AF$9+6,$E26&gt;=AF$9),IF($G26="Milestone","M",1),"")</x:f>
      </x:c>
      <x:c r="AG26" s="29" t="str">
        <x:f t="shared" si="8">IF(AND(OR($I26="OK",$I26="Outside view"),$D26&lt;=AG$9+6,$E26&gt;=AG$9),IF($G26="Milestone","M",1),"")</x:f>
      </x:c>
      <x:c r="AH26" s="29" t="str">
        <x:f t="shared" si="8">IF(AND(OR($I26="OK",$I26="Outside view"),$D26&lt;=AH$9+6,$E26&gt;=AH$9),IF($G26="Milestone","M",1),"")</x:f>
        <x:v>M</x:v>
      </x:c>
      <x:c r="AI26" s="29" t="str">
        <x:f t="shared" si="8">IF(AND(OR($I26="OK",$I26="Outside view"),$D26&lt;=AI$9+6,$E26&gt;=AI$9),IF($G26="Milestone","M",1),"")</x:f>
      </x:c>
      <x:c r="AJ26" s="29" t="str">
        <x:f t="shared" si="8">IF(AND(OR($I26="OK",$I26="Outside view"),$D26&lt;=AJ$9+6,$E26&gt;=AJ$9),IF($G26="Milestone","M",1),"")</x:f>
      </x:c>
      <x:c r="AK26" s="29" t="str">
        <x:f t="shared" si="8">IF(AND(OR($I26="OK",$I26="Outside view"),$D26&lt;=AK$9+6,$E26&gt;=AK$9),IF($G26="Milestone","M",1),"")</x:f>
      </x:c>
      <x:c r="AL26" s="29" t="str">
        <x:f t="shared" si="8">IF(AND(OR($I26="OK",$I26="Outside view"),$D26&lt;=AL$9+6,$E26&gt;=AL$9),IF($G26="Milestone","M",1),"")</x:f>
      </x:c>
      <x:c r="AM26" s="29" t="str">
        <x:f t="shared" si="8">IF(AND(OR($I26="OK",$I26="Outside view"),$D26&lt;=AM$9+6,$E26&gt;=AM$9),IF($G26="Milestone","M",1),"")</x:f>
      </x:c>
      <x:c r="AN26" s="29" t="str">
        <x:f t="shared" si="8">IF(AND(OR($I26="OK",$I26="Outside view"),$D26&lt;=AN$9+6,$E26&gt;=AN$9),IF($G26="Milestone","M",1),"")</x:f>
      </x:c>
      <x:c r="AO26" s="29" t="str">
        <x:f t="shared" si="8">IF(AND(OR($I26="OK",$I26="Outside view"),$D26&lt;=AO$9+6,$E26&gt;=AO$9),IF($G26="Milestone","M",1),"")</x:f>
      </x:c>
      <x:c r="AP26" s="29" t="str">
        <x:f t="shared" si="8">IF(AND(OR($I26="OK",$I26="Outside view"),$D26&lt;=AP$9+6,$E26&gt;=AP$9),IF($G26="Milestone","M",1),"")</x:f>
      </x:c>
      <x:c r="AQ26" s="29" t="str">
        <x:f t="shared" si="8">IF(AND(OR($I26="OK",$I26="Outside view"),$D26&lt;=AQ$9+6,$E26&gt;=AQ$9),IF($G26="Milestone","M",1),"")</x:f>
      </x:c>
    </x:row>
    <x:row r="27" ht="34.04999923706055" customHeight="1">
      <x:c r="A27" s="40" t="n">
        <x:v>18</x:v>
      </x:c>
      <x:c r="B27" s="40" t="str">
        <x:v>Development</x:v>
      </x:c>
      <x:c r="C27" s="35" t="str">
        <x:v>Implement vehicle, permit and visitor management</x:v>
      </x:c>
      <x:c r="D27" s="10" t="n">
        <x:v>46391</x:v>
      </x:c>
      <x:c r="E27" s="10" t="n">
        <x:v>46423</x:v>
      </x:c>
      <x:c r="F27" s="1" t="n">
        <x:f t="shared" si="1">IF(OR(I27="OK",I27="Outside view"),IF(G27="Milestone",0,E27-D27+1),"")</x:f>
        <x:v>33</x:v>
      </x:c>
      <x:c r="G27" s="7" t="str">
        <x:v>Task</x:v>
      </x:c>
      <x:c r="H27" s="11"/>
      <x:c r="I27" s="1" t="str">
        <x:f t="shared" si="2">IF(OR(D27="",E27=""),"Missing dates",IF(E27&lt;D27,"Finish &lt; start",IF(AND(G27="Milestone",D27&lt;&gt;E27),"Use one date",IF(OR(D27&lt;$J$9,E27&gt;$AQ$9+6),"Outside view","OK"))))</x:f>
        <x:v>OK</x:v>
      </x:c>
      <x:c r="J27" s="30" t="str">
        <x:f t="shared" si="6">IF(AND(OR($I27="OK",$I27="Outside view"),$D27&lt;=J$9+6,$E27&gt;=J$9),IF($G27="Milestone","M",1),"")</x:f>
      </x:c>
      <x:c r="K27" s="30" t="str">
        <x:f t="shared" si="6">IF(AND(OR($I27="OK",$I27="Outside view"),$D27&lt;=K$9+6,$E27&gt;=K$9),IF($G27="Milestone","M",1),"")</x:f>
      </x:c>
      <x:c r="L27" s="30" t="str">
        <x:f t="shared" si="6">IF(AND(OR($I27="OK",$I27="Outside view"),$D27&lt;=L$9+6,$E27&gt;=L$9),IF($G27="Milestone","M",1),"")</x:f>
      </x:c>
      <x:c r="M27" s="30" t="str">
        <x:f t="shared" si="6">IF(AND(OR($I27="OK",$I27="Outside view"),$D27&lt;=M$9+6,$E27&gt;=M$9),IF($G27="Milestone","M",1),"")</x:f>
      </x:c>
      <x:c r="N27" s="30" t="str">
        <x:f t="shared" si="6">IF(AND(OR($I27="OK",$I27="Outside view"),$D27&lt;=N$9+6,$E27&gt;=N$9),IF($G27="Milestone","M",1),"")</x:f>
      </x:c>
      <x:c r="O27" s="30" t="str">
        <x:f t="shared" si="6">IF(AND(OR($I27="OK",$I27="Outside view"),$D27&lt;=O$9+6,$E27&gt;=O$9),IF($G27="Milestone","M",1),"")</x:f>
      </x:c>
      <x:c r="P27" s="30" t="str">
        <x:f t="shared" si="6">IF(AND(OR($I27="OK",$I27="Outside view"),$D27&lt;=P$9+6,$E27&gt;=P$9),IF($G27="Milestone","M",1),"")</x:f>
      </x:c>
      <x:c r="Q27" s="30" t="str">
        <x:f t="shared" si="6">IF(AND(OR($I27="OK",$I27="Outside view"),$D27&lt;=Q$9+6,$E27&gt;=Q$9),IF($G27="Milestone","M",1),"")</x:f>
      </x:c>
      <x:c r="R27" s="30" t="str">
        <x:f t="shared" si="6">IF(AND(OR($I27="OK",$I27="Outside view"),$D27&lt;=R$9+6,$E27&gt;=R$9),IF($G27="Milestone","M",1),"")</x:f>
      </x:c>
      <x:c r="S27" s="30" t="str">
        <x:f t="shared" si="6">IF(AND(OR($I27="OK",$I27="Outside view"),$D27&lt;=S$9+6,$E27&gt;=S$9),IF($G27="Milestone","M",1),"")</x:f>
      </x:c>
      <x:c r="T27" s="30" t="str">
        <x:f t="shared" si="7">IF(AND(OR($I27="OK",$I27="Outside view"),$D27&lt;=T$9+6,$E27&gt;=T$9),IF($G27="Milestone","M",1),"")</x:f>
      </x:c>
      <x:c r="U27" s="30" t="str">
        <x:f t="shared" si="7">IF(AND(OR($I27="OK",$I27="Outside view"),$D27&lt;=U$9+6,$E27&gt;=U$9),IF($G27="Milestone","M",1),"")</x:f>
      </x:c>
      <x:c r="V27" s="30" t="str">
        <x:f t="shared" si="7">IF(AND(OR($I27="OK",$I27="Outside view"),$D27&lt;=V$9+6,$E27&gt;=V$9),IF($G27="Milestone","M",1),"")</x:f>
      </x:c>
      <x:c r="W27" s="30" t="str">
        <x:f t="shared" si="7">IF(AND(OR($I27="OK",$I27="Outside view"),$D27&lt;=W$9+6,$E27&gt;=W$9),IF($G27="Milestone","M",1),"")</x:f>
      </x:c>
      <x:c r="X27" s="30" t="str">
        <x:f t="shared" si="7">IF(AND(OR($I27="OK",$I27="Outside view"),$D27&lt;=X$9+6,$E27&gt;=X$9),IF($G27="Milestone","M",1),"")</x:f>
      </x:c>
      <x:c r="Y27" s="30" t="str">
        <x:f t="shared" si="7">IF(AND(OR($I27="OK",$I27="Outside view"),$D27&lt;=Y$9+6,$E27&gt;=Y$9),IF($G27="Milestone","M",1),"")</x:f>
      </x:c>
      <x:c r="Z27" s="30" t="str">
        <x:f t="shared" si="7">IF(AND(OR($I27="OK",$I27="Outside view"),$D27&lt;=Z$9+6,$E27&gt;=Z$9),IF($G27="Milestone","M",1),"")</x:f>
      </x:c>
      <x:c r="AA27" s="30" t="n">
        <x:f t="shared" si="7">IF(AND(OR($I27="OK",$I27="Outside view"),$D27&lt;=AA$9+6,$E27&gt;=AA$9),IF($G27="Milestone","M",1),"")</x:f>
        <x:v>1</x:v>
      </x:c>
      <x:c r="AB27" s="30" t="n">
        <x:f t="shared" si="7">IF(AND(OR($I27="OK",$I27="Outside view"),$D27&lt;=AB$9+6,$E27&gt;=AB$9),IF($G27="Milestone","M",1),"")</x:f>
        <x:v>1</x:v>
      </x:c>
      <x:c r="AC27" s="30" t="n">
        <x:f t="shared" si="7">IF(AND(OR($I27="OK",$I27="Outside view"),$D27&lt;=AC$9+6,$E27&gt;=AC$9),IF($G27="Milestone","M",1),"")</x:f>
        <x:v>1</x:v>
      </x:c>
      <x:c r="AD27" s="30" t="n">
        <x:f t="shared" si="8">IF(AND(OR($I27="OK",$I27="Outside view"),$D27&lt;=AD$9+6,$E27&gt;=AD$9),IF($G27="Milestone","M",1),"")</x:f>
        <x:v>1</x:v>
      </x:c>
      <x:c r="AE27" s="30" t="n">
        <x:f t="shared" si="8">IF(AND(OR($I27="OK",$I27="Outside view"),$D27&lt;=AE$9+6,$E27&gt;=AE$9),IF($G27="Milestone","M",1),"")</x:f>
        <x:v>1</x:v>
      </x:c>
      <x:c r="AF27" s="30" t="str">
        <x:f t="shared" si="8">IF(AND(OR($I27="OK",$I27="Outside view"),$D27&lt;=AF$9+6,$E27&gt;=AF$9),IF($G27="Milestone","M",1),"")</x:f>
      </x:c>
      <x:c r="AG27" s="30" t="str">
        <x:f t="shared" si="8">IF(AND(OR($I27="OK",$I27="Outside view"),$D27&lt;=AG$9+6,$E27&gt;=AG$9),IF($G27="Milestone","M",1),"")</x:f>
      </x:c>
      <x:c r="AH27" s="30" t="str">
        <x:f t="shared" si="8">IF(AND(OR($I27="OK",$I27="Outside view"),$D27&lt;=AH$9+6,$E27&gt;=AH$9),IF($G27="Milestone","M",1),"")</x:f>
      </x:c>
      <x:c r="AI27" s="30" t="str">
        <x:f t="shared" si="8">IF(AND(OR($I27="OK",$I27="Outside view"),$D27&lt;=AI$9+6,$E27&gt;=AI$9),IF($G27="Milestone","M",1),"")</x:f>
      </x:c>
      <x:c r="AJ27" s="30" t="str">
        <x:f t="shared" si="8">IF(AND(OR($I27="OK",$I27="Outside view"),$D27&lt;=AJ$9+6,$E27&gt;=AJ$9),IF($G27="Milestone","M",1),"")</x:f>
      </x:c>
      <x:c r="AK27" s="30" t="str">
        <x:f t="shared" si="8">IF(AND(OR($I27="OK",$I27="Outside view"),$D27&lt;=AK$9+6,$E27&gt;=AK$9),IF($G27="Milestone","M",1),"")</x:f>
      </x:c>
      <x:c r="AL27" s="30" t="str">
        <x:f t="shared" si="8">IF(AND(OR($I27="OK",$I27="Outside view"),$D27&lt;=AL$9+6,$E27&gt;=AL$9),IF($G27="Milestone","M",1),"")</x:f>
      </x:c>
      <x:c r="AM27" s="30" t="str">
        <x:f t="shared" si="8">IF(AND(OR($I27="OK",$I27="Outside view"),$D27&lt;=AM$9+6,$E27&gt;=AM$9),IF($G27="Milestone","M",1),"")</x:f>
      </x:c>
      <x:c r="AN27" s="30" t="str">
        <x:f t="shared" si="8">IF(AND(OR($I27="OK",$I27="Outside view"),$D27&lt;=AN$9+6,$E27&gt;=AN$9),IF($G27="Milestone","M",1),"")</x:f>
      </x:c>
      <x:c r="AO27" s="30" t="str">
        <x:f t="shared" si="8">IF(AND(OR($I27="OK",$I27="Outside view"),$D27&lt;=AO$9+6,$E27&gt;=AO$9),IF($G27="Milestone","M",1),"")</x:f>
      </x:c>
      <x:c r="AP27" s="30" t="str">
        <x:f t="shared" si="8">IF(AND(OR($I27="OK",$I27="Outside view"),$D27&lt;=AP$9+6,$E27&gt;=AP$9),IF($G27="Milestone","M",1),"")</x:f>
      </x:c>
      <x:c r="AQ27" s="30" t="str">
        <x:f t="shared" si="8">IF(AND(OR($I27="OK",$I27="Outside view"),$D27&lt;=AQ$9+6,$E27&gt;=AQ$9),IF($G27="Milestone","M",1),"")</x:f>
      </x:c>
    </x:row>
    <x:row r="28" ht="34.04999923706055" customHeight="1">
      <x:c r="A28" s="40" t="n">
        <x:v>19</x:v>
      </x:c>
      <x:c r="B28" s="40" t="str">
        <x:v>Development</x:v>
      </x:c>
      <x:c r="C28" s="35" t="str">
        <x:v>Implement payment status and entry-exit records</x:v>
      </x:c>
      <x:c r="D28" s="10" t="n">
        <x:v>46412</x:v>
      </x:c>
      <x:c r="E28" s="10" t="n">
        <x:v>46437</x:v>
      </x:c>
      <x:c r="F28" s="1" t="n">
        <x:f t="shared" si="1">IF(OR(I28="OK",I28="Outside view"),IF(G28="Milestone",0,E28-D28+1),"")</x:f>
        <x:v>26</x:v>
      </x:c>
      <x:c r="G28" s="7" t="str">
        <x:v>Task</x:v>
      </x:c>
      <x:c r="H28" s="11"/>
      <x:c r="I28" s="1" t="str">
        <x:f t="shared" si="2">IF(OR(D28="",E28=""),"Missing dates",IF(E28&lt;D28,"Finish &lt; start",IF(AND(G28="Milestone",D28&lt;&gt;E28),"Use one date",IF(OR(D28&lt;$J$9,E28&gt;$AQ$9+6),"Outside view","OK"))))</x:f>
        <x:v>OK</x:v>
      </x:c>
      <x:c r="J28" s="30" t="str">
        <x:f t="shared" si="6">IF(AND(OR($I28="OK",$I28="Outside view"),$D28&lt;=J$9+6,$E28&gt;=J$9),IF($G28="Milestone","M",1),"")</x:f>
      </x:c>
      <x:c r="K28" s="30" t="str">
        <x:f t="shared" si="6">IF(AND(OR($I28="OK",$I28="Outside view"),$D28&lt;=K$9+6,$E28&gt;=K$9),IF($G28="Milestone","M",1),"")</x:f>
      </x:c>
      <x:c r="L28" s="30" t="str">
        <x:f t="shared" si="6">IF(AND(OR($I28="OK",$I28="Outside view"),$D28&lt;=L$9+6,$E28&gt;=L$9),IF($G28="Milestone","M",1),"")</x:f>
      </x:c>
      <x:c r="M28" s="30" t="str">
        <x:f t="shared" si="6">IF(AND(OR($I28="OK",$I28="Outside view"),$D28&lt;=M$9+6,$E28&gt;=M$9),IF($G28="Milestone","M",1),"")</x:f>
      </x:c>
      <x:c r="N28" s="30" t="str">
        <x:f t="shared" si="6">IF(AND(OR($I28="OK",$I28="Outside view"),$D28&lt;=N$9+6,$E28&gt;=N$9),IF($G28="Milestone","M",1),"")</x:f>
      </x:c>
      <x:c r="O28" s="30" t="str">
        <x:f t="shared" si="6">IF(AND(OR($I28="OK",$I28="Outside view"),$D28&lt;=O$9+6,$E28&gt;=O$9),IF($G28="Milestone","M",1),"")</x:f>
      </x:c>
      <x:c r="P28" s="30" t="str">
        <x:f t="shared" si="6">IF(AND(OR($I28="OK",$I28="Outside view"),$D28&lt;=P$9+6,$E28&gt;=P$9),IF($G28="Milestone","M",1),"")</x:f>
      </x:c>
      <x:c r="Q28" s="30" t="str">
        <x:f t="shared" si="6">IF(AND(OR($I28="OK",$I28="Outside view"),$D28&lt;=Q$9+6,$E28&gt;=Q$9),IF($G28="Milestone","M",1),"")</x:f>
      </x:c>
      <x:c r="R28" s="30" t="str">
        <x:f t="shared" si="6">IF(AND(OR($I28="OK",$I28="Outside view"),$D28&lt;=R$9+6,$E28&gt;=R$9),IF($G28="Milestone","M",1),"")</x:f>
      </x:c>
      <x:c r="S28" s="30" t="str">
        <x:f t="shared" si="6">IF(AND(OR($I28="OK",$I28="Outside view"),$D28&lt;=S$9+6,$E28&gt;=S$9),IF($G28="Milestone","M",1),"")</x:f>
      </x:c>
      <x:c r="T28" s="30" t="str">
        <x:f t="shared" si="7">IF(AND(OR($I28="OK",$I28="Outside view"),$D28&lt;=T$9+6,$E28&gt;=T$9),IF($G28="Milestone","M",1),"")</x:f>
      </x:c>
      <x:c r="U28" s="30" t="str">
        <x:f t="shared" si="7">IF(AND(OR($I28="OK",$I28="Outside view"),$D28&lt;=U$9+6,$E28&gt;=U$9),IF($G28="Milestone","M",1),"")</x:f>
      </x:c>
      <x:c r="V28" s="30" t="str">
        <x:f t="shared" si="7">IF(AND(OR($I28="OK",$I28="Outside view"),$D28&lt;=V$9+6,$E28&gt;=V$9),IF($G28="Milestone","M",1),"")</x:f>
      </x:c>
      <x:c r="W28" s="30" t="str">
        <x:f t="shared" si="7">IF(AND(OR($I28="OK",$I28="Outside view"),$D28&lt;=W$9+6,$E28&gt;=W$9),IF($G28="Milestone","M",1),"")</x:f>
      </x:c>
      <x:c r="X28" s="30" t="str">
        <x:f t="shared" si="7">IF(AND(OR($I28="OK",$I28="Outside view"),$D28&lt;=X$9+6,$E28&gt;=X$9),IF($G28="Milestone","M",1),"")</x:f>
      </x:c>
      <x:c r="Y28" s="30" t="str">
        <x:f t="shared" si="7">IF(AND(OR($I28="OK",$I28="Outside view"),$D28&lt;=Y$9+6,$E28&gt;=Y$9),IF($G28="Milestone","M",1),"")</x:f>
      </x:c>
      <x:c r="Z28" s="30" t="str">
        <x:f t="shared" si="7">IF(AND(OR($I28="OK",$I28="Outside view"),$D28&lt;=Z$9+6,$E28&gt;=Z$9),IF($G28="Milestone","M",1),"")</x:f>
      </x:c>
      <x:c r="AA28" s="30" t="str">
        <x:f t="shared" si="7">IF(AND(OR($I28="OK",$I28="Outside view"),$D28&lt;=AA$9+6,$E28&gt;=AA$9),IF($G28="Milestone","M",1),"")</x:f>
      </x:c>
      <x:c r="AB28" s="30" t="str">
        <x:f t="shared" si="7">IF(AND(OR($I28="OK",$I28="Outside view"),$D28&lt;=AB$9+6,$E28&gt;=AB$9),IF($G28="Milestone","M",1),"")</x:f>
      </x:c>
      <x:c r="AC28" s="30" t="str">
        <x:f t="shared" si="7">IF(AND(OR($I28="OK",$I28="Outside view"),$D28&lt;=AC$9+6,$E28&gt;=AC$9),IF($G28="Milestone","M",1),"")</x:f>
      </x:c>
      <x:c r="AD28" s="30" t="n">
        <x:f t="shared" si="8">IF(AND(OR($I28="OK",$I28="Outside view"),$D28&lt;=AD$9+6,$E28&gt;=AD$9),IF($G28="Milestone","M",1),"")</x:f>
        <x:v>1</x:v>
      </x:c>
      <x:c r="AE28" s="30" t="n">
        <x:f t="shared" si="8">IF(AND(OR($I28="OK",$I28="Outside view"),$D28&lt;=AE$9+6,$E28&gt;=AE$9),IF($G28="Milestone","M",1),"")</x:f>
        <x:v>1</x:v>
      </x:c>
      <x:c r="AF28" s="30" t="n">
        <x:f t="shared" si="8">IF(AND(OR($I28="OK",$I28="Outside view"),$D28&lt;=AF$9+6,$E28&gt;=AF$9),IF($G28="Milestone","M",1),"")</x:f>
        <x:v>1</x:v>
      </x:c>
      <x:c r="AG28" s="30" t="n">
        <x:f t="shared" si="8">IF(AND(OR($I28="OK",$I28="Outside view"),$D28&lt;=AG$9+6,$E28&gt;=AG$9),IF($G28="Milestone","M",1),"")</x:f>
        <x:v>1</x:v>
      </x:c>
      <x:c r="AH28" s="30" t="str">
        <x:f t="shared" si="8">IF(AND(OR($I28="OK",$I28="Outside view"),$D28&lt;=AH$9+6,$E28&gt;=AH$9),IF($G28="Milestone","M",1),"")</x:f>
      </x:c>
      <x:c r="AI28" s="30" t="str">
        <x:f t="shared" si="8">IF(AND(OR($I28="OK",$I28="Outside view"),$D28&lt;=AI$9+6,$E28&gt;=AI$9),IF($G28="Milestone","M",1),"")</x:f>
      </x:c>
      <x:c r="AJ28" s="30" t="str">
        <x:f t="shared" si="8">IF(AND(OR($I28="OK",$I28="Outside view"),$D28&lt;=AJ$9+6,$E28&gt;=AJ$9),IF($G28="Milestone","M",1),"")</x:f>
      </x:c>
      <x:c r="AK28" s="30" t="str">
        <x:f t="shared" si="8">IF(AND(OR($I28="OK",$I28="Outside view"),$D28&lt;=AK$9+6,$E28&gt;=AK$9),IF($G28="Milestone","M",1),"")</x:f>
      </x:c>
      <x:c r="AL28" s="30" t="str">
        <x:f t="shared" si="8">IF(AND(OR($I28="OK",$I28="Outside view"),$D28&lt;=AL$9+6,$E28&gt;=AL$9),IF($G28="Milestone","M",1),"")</x:f>
      </x:c>
      <x:c r="AM28" s="30" t="str">
        <x:f t="shared" si="8">IF(AND(OR($I28="OK",$I28="Outside view"),$D28&lt;=AM$9+6,$E28&gt;=AM$9),IF($G28="Milestone","M",1),"")</x:f>
      </x:c>
      <x:c r="AN28" s="30" t="str">
        <x:f t="shared" si="8">IF(AND(OR($I28="OK",$I28="Outside view"),$D28&lt;=AN$9+6,$E28&gt;=AN$9),IF($G28="Milestone","M",1),"")</x:f>
      </x:c>
      <x:c r="AO28" s="30" t="str">
        <x:f t="shared" si="8">IF(AND(OR($I28="OK",$I28="Outside view"),$D28&lt;=AO$9+6,$E28&gt;=AO$9),IF($G28="Milestone","M",1),"")</x:f>
      </x:c>
      <x:c r="AP28" s="30" t="str">
        <x:f t="shared" si="8">IF(AND(OR($I28="OK",$I28="Outside view"),$D28&lt;=AP$9+6,$E28&gt;=AP$9),IF($G28="Milestone","M",1),"")</x:f>
      </x:c>
      <x:c r="AQ28" s="30" t="str">
        <x:f t="shared" si="8">IF(AND(OR($I28="OK",$I28="Outside view"),$D28&lt;=AQ$9+6,$E28&gt;=AQ$9),IF($G28="Milestone","M",1),"")</x:f>
      </x:c>
    </x:row>
    <x:row r="29" ht="34.04999923706055" customHeight="1">
      <x:c r="A29" s="40" t="n">
        <x:v>20</x:v>
      </x:c>
      <x:c r="B29" s="40" t="str">
        <x:v>Integration</x:v>
      </x:c>
      <x:c r="C29" s="35" t="str">
        <x:v>Prepare camera and barrier test environment</x:v>
      </x:c>
      <x:c r="D29" s="10" t="n">
        <x:v>46405</x:v>
      </x:c>
      <x:c r="E29" s="10" t="n">
        <x:v>46430</x:v>
      </x:c>
      <x:c r="F29" s="1" t="n">
        <x:f t="shared" si="1">IF(OR(I29="OK",I29="Outside view"),IF(G29="Milestone",0,E29-D29+1),"")</x:f>
        <x:v>26</x:v>
      </x:c>
      <x:c r="G29" s="7" t="str">
        <x:v>Task</x:v>
      </x:c>
      <x:c r="H29" s="11"/>
      <x:c r="I29" s="1" t="str">
        <x:f t="shared" si="2">IF(OR(D29="",E29=""),"Missing dates",IF(E29&lt;D29,"Finish &lt; start",IF(AND(G29="Milestone",D29&lt;&gt;E29),"Use one date",IF(OR(D29&lt;$J$9,E29&gt;$AQ$9+6),"Outside view","OK"))))</x:f>
        <x:v>OK</x:v>
      </x:c>
      <x:c r="J29" s="30" t="str">
        <x:f t="shared" si="6">IF(AND(OR($I29="OK",$I29="Outside view"),$D29&lt;=J$9+6,$E29&gt;=J$9),IF($G29="Milestone","M",1),"")</x:f>
      </x:c>
      <x:c r="K29" s="30" t="str">
        <x:f t="shared" si="6">IF(AND(OR($I29="OK",$I29="Outside view"),$D29&lt;=K$9+6,$E29&gt;=K$9),IF($G29="Milestone","M",1),"")</x:f>
      </x:c>
      <x:c r="L29" s="30" t="str">
        <x:f t="shared" si="6">IF(AND(OR($I29="OK",$I29="Outside view"),$D29&lt;=L$9+6,$E29&gt;=L$9),IF($G29="Milestone","M",1),"")</x:f>
      </x:c>
      <x:c r="M29" s="30" t="str">
        <x:f t="shared" si="6">IF(AND(OR($I29="OK",$I29="Outside view"),$D29&lt;=M$9+6,$E29&gt;=M$9),IF($G29="Milestone","M",1),"")</x:f>
      </x:c>
      <x:c r="N29" s="30" t="str">
        <x:f t="shared" si="6">IF(AND(OR($I29="OK",$I29="Outside view"),$D29&lt;=N$9+6,$E29&gt;=N$9),IF($G29="Milestone","M",1),"")</x:f>
      </x:c>
      <x:c r="O29" s="30" t="str">
        <x:f t="shared" si="6">IF(AND(OR($I29="OK",$I29="Outside view"),$D29&lt;=O$9+6,$E29&gt;=O$9),IF($G29="Milestone","M",1),"")</x:f>
      </x:c>
      <x:c r="P29" s="30" t="str">
        <x:f t="shared" si="6">IF(AND(OR($I29="OK",$I29="Outside view"),$D29&lt;=P$9+6,$E29&gt;=P$9),IF($G29="Milestone","M",1),"")</x:f>
      </x:c>
      <x:c r="Q29" s="30" t="str">
        <x:f t="shared" si="6">IF(AND(OR($I29="OK",$I29="Outside view"),$D29&lt;=Q$9+6,$E29&gt;=Q$9),IF($G29="Milestone","M",1),"")</x:f>
      </x:c>
      <x:c r="R29" s="30" t="str">
        <x:f t="shared" si="6">IF(AND(OR($I29="OK",$I29="Outside view"),$D29&lt;=R$9+6,$E29&gt;=R$9),IF($G29="Milestone","M",1),"")</x:f>
      </x:c>
      <x:c r="S29" s="30" t="str">
        <x:f t="shared" si="6">IF(AND(OR($I29="OK",$I29="Outside view"),$D29&lt;=S$9+6,$E29&gt;=S$9),IF($G29="Milestone","M",1),"")</x:f>
      </x:c>
      <x:c r="T29" s="30" t="str">
        <x:f t="shared" si="7">IF(AND(OR($I29="OK",$I29="Outside view"),$D29&lt;=T$9+6,$E29&gt;=T$9),IF($G29="Milestone","M",1),"")</x:f>
      </x:c>
      <x:c r="U29" s="30" t="str">
        <x:f t="shared" si="7">IF(AND(OR($I29="OK",$I29="Outside view"),$D29&lt;=U$9+6,$E29&gt;=U$9),IF($G29="Milestone","M",1),"")</x:f>
      </x:c>
      <x:c r="V29" s="30" t="str">
        <x:f t="shared" si="7">IF(AND(OR($I29="OK",$I29="Outside view"),$D29&lt;=V$9+6,$E29&gt;=V$9),IF($G29="Milestone","M",1),"")</x:f>
      </x:c>
      <x:c r="W29" s="30" t="str">
        <x:f t="shared" si="7">IF(AND(OR($I29="OK",$I29="Outside view"),$D29&lt;=W$9+6,$E29&gt;=W$9),IF($G29="Milestone","M",1),"")</x:f>
      </x:c>
      <x:c r="X29" s="30" t="str">
        <x:f t="shared" si="7">IF(AND(OR($I29="OK",$I29="Outside view"),$D29&lt;=X$9+6,$E29&gt;=X$9),IF($G29="Milestone","M",1),"")</x:f>
      </x:c>
      <x:c r="Y29" s="30" t="str">
        <x:f t="shared" si="7">IF(AND(OR($I29="OK",$I29="Outside view"),$D29&lt;=Y$9+6,$E29&gt;=Y$9),IF($G29="Milestone","M",1),"")</x:f>
      </x:c>
      <x:c r="Z29" s="30" t="str">
        <x:f t="shared" si="7">IF(AND(OR($I29="OK",$I29="Outside view"),$D29&lt;=Z$9+6,$E29&gt;=Z$9),IF($G29="Milestone","M",1),"")</x:f>
      </x:c>
      <x:c r="AA29" s="30" t="str">
        <x:f t="shared" si="7">IF(AND(OR($I29="OK",$I29="Outside view"),$D29&lt;=AA$9+6,$E29&gt;=AA$9),IF($G29="Milestone","M",1),"")</x:f>
      </x:c>
      <x:c r="AB29" s="30" t="str">
        <x:f t="shared" si="7">IF(AND(OR($I29="OK",$I29="Outside view"),$D29&lt;=AB$9+6,$E29&gt;=AB$9),IF($G29="Milestone","M",1),"")</x:f>
      </x:c>
      <x:c r="AC29" s="30" t="n">
        <x:f t="shared" si="7">IF(AND(OR($I29="OK",$I29="Outside view"),$D29&lt;=AC$9+6,$E29&gt;=AC$9),IF($G29="Milestone","M",1),"")</x:f>
        <x:v>1</x:v>
      </x:c>
      <x:c r="AD29" s="30" t="n">
        <x:f t="shared" si="8">IF(AND(OR($I29="OK",$I29="Outside view"),$D29&lt;=AD$9+6,$E29&gt;=AD$9),IF($G29="Milestone","M",1),"")</x:f>
        <x:v>1</x:v>
      </x:c>
      <x:c r="AE29" s="30" t="n">
        <x:f t="shared" si="8">IF(AND(OR($I29="OK",$I29="Outside view"),$D29&lt;=AE$9+6,$E29&gt;=AE$9),IF($G29="Milestone","M",1),"")</x:f>
        <x:v>1</x:v>
      </x:c>
      <x:c r="AF29" s="30" t="n">
        <x:f t="shared" si="8">IF(AND(OR($I29="OK",$I29="Outside view"),$D29&lt;=AF$9+6,$E29&gt;=AF$9),IF($G29="Milestone","M",1),"")</x:f>
        <x:v>1</x:v>
      </x:c>
      <x:c r="AG29" s="30" t="str">
        <x:f t="shared" si="8">IF(AND(OR($I29="OK",$I29="Outside view"),$D29&lt;=AG$9+6,$E29&gt;=AG$9),IF($G29="Milestone","M",1),"")</x:f>
      </x:c>
      <x:c r="AH29" s="30" t="str">
        <x:f t="shared" si="8">IF(AND(OR($I29="OK",$I29="Outside view"),$D29&lt;=AH$9+6,$E29&gt;=AH$9),IF($G29="Milestone","M",1),"")</x:f>
      </x:c>
      <x:c r="AI29" s="30" t="str">
        <x:f t="shared" si="8">IF(AND(OR($I29="OK",$I29="Outside view"),$D29&lt;=AI$9+6,$E29&gt;=AI$9),IF($G29="Milestone","M",1),"")</x:f>
      </x:c>
      <x:c r="AJ29" s="30" t="str">
        <x:f t="shared" si="8">IF(AND(OR($I29="OK",$I29="Outside view"),$D29&lt;=AJ$9+6,$E29&gt;=AJ$9),IF($G29="Milestone","M",1),"")</x:f>
      </x:c>
      <x:c r="AK29" s="30" t="str">
        <x:f t="shared" si="8">IF(AND(OR($I29="OK",$I29="Outside view"),$D29&lt;=AK$9+6,$E29&gt;=AK$9),IF($G29="Milestone","M",1),"")</x:f>
      </x:c>
      <x:c r="AL29" s="30" t="str">
        <x:f t="shared" si="8">IF(AND(OR($I29="OK",$I29="Outside view"),$D29&lt;=AL$9+6,$E29&gt;=AL$9),IF($G29="Milestone","M",1),"")</x:f>
      </x:c>
      <x:c r="AM29" s="30" t="str">
        <x:f t="shared" si="8">IF(AND(OR($I29="OK",$I29="Outside view"),$D29&lt;=AM$9+6,$E29&gt;=AM$9),IF($G29="Milestone","M",1),"")</x:f>
      </x:c>
      <x:c r="AN29" s="30" t="str">
        <x:f t="shared" si="8">IF(AND(OR($I29="OK",$I29="Outside view"),$D29&lt;=AN$9+6,$E29&gt;=AN$9),IF($G29="Milestone","M",1),"")</x:f>
      </x:c>
      <x:c r="AO29" s="30" t="str">
        <x:f t="shared" si="8">IF(AND(OR($I29="OK",$I29="Outside view"),$D29&lt;=AO$9+6,$E29&gt;=AO$9),IF($G29="Milestone","M",1),"")</x:f>
      </x:c>
      <x:c r="AP29" s="30" t="str">
        <x:f t="shared" si="8">IF(AND(OR($I29="OK",$I29="Outside view"),$D29&lt;=AP$9+6,$E29&gt;=AP$9),IF($G29="Milestone","M",1),"")</x:f>
      </x:c>
      <x:c r="AQ29" s="30" t="str">
        <x:f t="shared" si="8">IF(AND(OR($I29="OK",$I29="Outside view"),$D29&lt;=AQ$9+6,$E29&gt;=AQ$9),IF($G29="Milestone","M",1),"")</x:f>
      </x:c>
    </x:row>
    <x:row r="30" ht="34.04999923706055" customHeight="1">
      <x:c r="A30" s="41" t="n">
        <x:v>21</x:v>
      </x:c>
      <x:c r="B30" s="41" t="str">
        <x:v>Integration</x:v>
      </x:c>
      <x:c r="C30" s="33" t="str">
        <x:v>Integrate recognition with parking access workflow</x:v>
      </x:c>
      <x:c r="D30" s="14" t="n">
        <x:v>46447</x:v>
      </x:c>
      <x:c r="E30" s="14" t="n">
        <x:v>46465</x:v>
      </x:c>
      <x:c r="F30" s="15" t="n">
        <x:f t="shared" si="1">IF(OR(I30="OK",I30="Outside view"),IF(G30="Milestone",0,E30-D30+1),"")</x:f>
        <x:v>19</x:v>
      </x:c>
      <x:c r="G30" s="16" t="str">
        <x:v>Task</x:v>
      </x:c>
      <x:c r="H30" s="17"/>
      <x:c r="I30" s="15" t="str">
        <x:f t="shared" si="2">IF(OR(D30="",E30=""),"Missing dates",IF(E30&lt;D30,"Finish &lt; start",IF(AND(G30="Milestone",D30&lt;&gt;E30),"Use one date",IF(OR(D30&lt;$J$9,E30&gt;$AQ$9+6),"Outside view","OK"))))</x:f>
        <x:v>OK</x:v>
      </x:c>
      <x:c r="J30" s="29" t="str">
        <x:f t="shared" ref="J30:S39" si="9">IF(AND(OR($I30="OK",$I30="Outside view"),$D30&lt;=J$9+6,$E30&gt;=J$9),IF($G30="Milestone","M",1),"")</x:f>
      </x:c>
      <x:c r="K30" s="29" t="str">
        <x:f t="shared" si="9">IF(AND(OR($I30="OK",$I30="Outside view"),$D30&lt;=K$9+6,$E30&gt;=K$9),IF($G30="Milestone","M",1),"")</x:f>
      </x:c>
      <x:c r="L30" s="29" t="str">
        <x:f t="shared" si="9">IF(AND(OR($I30="OK",$I30="Outside view"),$D30&lt;=L$9+6,$E30&gt;=L$9),IF($G30="Milestone","M",1),"")</x:f>
      </x:c>
      <x:c r="M30" s="29" t="str">
        <x:f t="shared" si="9">IF(AND(OR($I30="OK",$I30="Outside view"),$D30&lt;=M$9+6,$E30&gt;=M$9),IF($G30="Milestone","M",1),"")</x:f>
      </x:c>
      <x:c r="N30" s="29" t="str">
        <x:f t="shared" si="9">IF(AND(OR($I30="OK",$I30="Outside view"),$D30&lt;=N$9+6,$E30&gt;=N$9),IF($G30="Milestone","M",1),"")</x:f>
      </x:c>
      <x:c r="O30" s="29" t="str">
        <x:f t="shared" si="9">IF(AND(OR($I30="OK",$I30="Outside view"),$D30&lt;=O$9+6,$E30&gt;=O$9),IF($G30="Milestone","M",1),"")</x:f>
      </x:c>
      <x:c r="P30" s="29" t="str">
        <x:f t="shared" si="9">IF(AND(OR($I30="OK",$I30="Outside view"),$D30&lt;=P$9+6,$E30&gt;=P$9),IF($G30="Milestone","M",1),"")</x:f>
      </x:c>
      <x:c r="Q30" s="29" t="str">
        <x:f t="shared" si="9">IF(AND(OR($I30="OK",$I30="Outside view"),$D30&lt;=Q$9+6,$E30&gt;=Q$9),IF($G30="Milestone","M",1),"")</x:f>
      </x:c>
      <x:c r="R30" s="29" t="str">
        <x:f t="shared" si="9">IF(AND(OR($I30="OK",$I30="Outside view"),$D30&lt;=R$9+6,$E30&gt;=R$9),IF($G30="Milestone","M",1),"")</x:f>
      </x:c>
      <x:c r="S30" s="29" t="str">
        <x:f t="shared" si="9">IF(AND(OR($I30="OK",$I30="Outside view"),$D30&lt;=S$9+6,$E30&gt;=S$9),IF($G30="Milestone","M",1),"")</x:f>
      </x:c>
      <x:c r="T30" s="29" t="str">
        <x:f t="shared" ref="T30:AC39" si="10">IF(AND(OR($I30="OK",$I30="Outside view"),$D30&lt;=T$9+6,$E30&gt;=T$9),IF($G30="Milestone","M",1),"")</x:f>
      </x:c>
      <x:c r="U30" s="29" t="str">
        <x:f t="shared" si="10">IF(AND(OR($I30="OK",$I30="Outside view"),$D30&lt;=U$9+6,$E30&gt;=U$9),IF($G30="Milestone","M",1),"")</x:f>
      </x:c>
      <x:c r="V30" s="29" t="str">
        <x:f t="shared" si="10">IF(AND(OR($I30="OK",$I30="Outside view"),$D30&lt;=V$9+6,$E30&gt;=V$9),IF($G30="Milestone","M",1),"")</x:f>
      </x:c>
      <x:c r="W30" s="29" t="str">
        <x:f t="shared" si="10">IF(AND(OR($I30="OK",$I30="Outside view"),$D30&lt;=W$9+6,$E30&gt;=W$9),IF($G30="Milestone","M",1),"")</x:f>
      </x:c>
      <x:c r="X30" s="29" t="str">
        <x:f t="shared" si="10">IF(AND(OR($I30="OK",$I30="Outside view"),$D30&lt;=X$9+6,$E30&gt;=X$9),IF($G30="Milestone","M",1),"")</x:f>
      </x:c>
      <x:c r="Y30" s="29" t="str">
        <x:f t="shared" si="10">IF(AND(OR($I30="OK",$I30="Outside view"),$D30&lt;=Y$9+6,$E30&gt;=Y$9),IF($G30="Milestone","M",1),"")</x:f>
      </x:c>
      <x:c r="Z30" s="29" t="str">
        <x:f t="shared" si="10">IF(AND(OR($I30="OK",$I30="Outside view"),$D30&lt;=Z$9+6,$E30&gt;=Z$9),IF($G30="Milestone","M",1),"")</x:f>
      </x:c>
      <x:c r="AA30" s="29" t="str">
        <x:f t="shared" si="10">IF(AND(OR($I30="OK",$I30="Outside view"),$D30&lt;=AA$9+6,$E30&gt;=AA$9),IF($G30="Milestone","M",1),"")</x:f>
      </x:c>
      <x:c r="AB30" s="29" t="str">
        <x:f t="shared" si="10">IF(AND(OR($I30="OK",$I30="Outside view"),$D30&lt;=AB$9+6,$E30&gt;=AB$9),IF($G30="Milestone","M",1),"")</x:f>
      </x:c>
      <x:c r="AC30" s="29" t="str">
        <x:f t="shared" si="10">IF(AND(OR($I30="OK",$I30="Outside view"),$D30&lt;=AC$9+6,$E30&gt;=AC$9),IF($G30="Milestone","M",1),"")</x:f>
      </x:c>
      <x:c r="AD30" s="29" t="str">
        <x:f t="shared" ref="AD30:AQ39" si="11">IF(AND(OR($I30="OK",$I30="Outside view"),$D30&lt;=AD$9+6,$E30&gt;=AD$9),IF($G30="Milestone","M",1),"")</x:f>
      </x:c>
      <x:c r="AE30" s="29" t="str">
        <x:f t="shared" si="11">IF(AND(OR($I30="OK",$I30="Outside view"),$D30&lt;=AE$9+6,$E30&gt;=AE$9),IF($G30="Milestone","M",1),"")</x:f>
      </x:c>
      <x:c r="AF30" s="29" t="str">
        <x:f t="shared" si="11">IF(AND(OR($I30="OK",$I30="Outside view"),$D30&lt;=AF$9+6,$E30&gt;=AF$9),IF($G30="Milestone","M",1),"")</x:f>
      </x:c>
      <x:c r="AG30" s="29" t="str">
        <x:f t="shared" si="11">IF(AND(OR($I30="OK",$I30="Outside view"),$D30&lt;=AG$9+6,$E30&gt;=AG$9),IF($G30="Milestone","M",1),"")</x:f>
      </x:c>
      <x:c r="AH30" s="29" t="str">
        <x:f t="shared" si="11">IF(AND(OR($I30="OK",$I30="Outside view"),$D30&lt;=AH$9+6,$E30&gt;=AH$9),IF($G30="Milestone","M",1),"")</x:f>
      </x:c>
      <x:c r="AI30" s="29" t="n">
        <x:f t="shared" si="11">IF(AND(OR($I30="OK",$I30="Outside view"),$D30&lt;=AI$9+6,$E30&gt;=AI$9),IF($G30="Milestone","M",1),"")</x:f>
        <x:v>1</x:v>
      </x:c>
      <x:c r="AJ30" s="29" t="n">
        <x:f t="shared" si="11">IF(AND(OR($I30="OK",$I30="Outside view"),$D30&lt;=AJ$9+6,$E30&gt;=AJ$9),IF($G30="Milestone","M",1),"")</x:f>
        <x:v>1</x:v>
      </x:c>
      <x:c r="AK30" s="29" t="n">
        <x:f t="shared" si="11">IF(AND(OR($I30="OK",$I30="Outside view"),$D30&lt;=AK$9+6,$E30&gt;=AK$9),IF($G30="Milestone","M",1),"")</x:f>
        <x:v>1</x:v>
      </x:c>
      <x:c r="AL30" s="29" t="str">
        <x:f t="shared" si="11">IF(AND(OR($I30="OK",$I30="Outside view"),$D30&lt;=AL$9+6,$E30&gt;=AL$9),IF($G30="Milestone","M",1),"")</x:f>
      </x:c>
      <x:c r="AM30" s="29" t="str">
        <x:f t="shared" si="11">IF(AND(OR($I30="OK",$I30="Outside view"),$D30&lt;=AM$9+6,$E30&gt;=AM$9),IF($G30="Milestone","M",1),"")</x:f>
      </x:c>
      <x:c r="AN30" s="29" t="str">
        <x:f t="shared" si="11">IF(AND(OR($I30="OK",$I30="Outside view"),$D30&lt;=AN$9+6,$E30&gt;=AN$9),IF($G30="Milestone","M",1),"")</x:f>
      </x:c>
      <x:c r="AO30" s="29" t="str">
        <x:f t="shared" si="11">IF(AND(OR($I30="OK",$I30="Outside view"),$D30&lt;=AO$9+6,$E30&gt;=AO$9),IF($G30="Milestone","M",1),"")</x:f>
      </x:c>
      <x:c r="AP30" s="29" t="str">
        <x:f t="shared" si="11">IF(AND(OR($I30="OK",$I30="Outside view"),$D30&lt;=AP$9+6,$E30&gt;=AP$9),IF($G30="Milestone","M",1),"")</x:f>
      </x:c>
      <x:c r="AQ30" s="29" t="str">
        <x:f t="shared" si="11">IF(AND(OR($I30="OK",$I30="Outside view"),$D30&lt;=AQ$9+6,$E30&gt;=AQ$9),IF($G30="Milestone","M",1),"")</x:f>
      </x:c>
    </x:row>
    <x:row r="31" ht="34.04999923706055" customHeight="1">
      <x:c r="A31" s="40" t="n">
        <x:v>22</x:v>
      </x:c>
      <x:c r="B31" s="40" t="str">
        <x:v>Integration</x:v>
      </x:c>
      <x:c r="C31" s="35" t="str">
        <x:v>Run pilot and resolve integration issues</x:v>
      </x:c>
      <x:c r="D31" s="10" t="n">
        <x:v>46468</x:v>
      </x:c>
      <x:c r="E31" s="10" t="n">
        <x:v>46476</x:v>
      </x:c>
      <x:c r="F31" s="1" t="n">
        <x:f t="shared" si="1">IF(OR(I31="OK",I31="Outside view"),IF(G31="Milestone",0,E31-D31+1),"")</x:f>
        <x:v>9</x:v>
      </x:c>
      <x:c r="G31" s="7" t="str">
        <x:v>Task</x:v>
      </x:c>
      <x:c r="H31" s="11"/>
      <x:c r="I31" s="1" t="str">
        <x:f t="shared" si="2">IF(OR(D31="",E31=""),"Missing dates",IF(E31&lt;D31,"Finish &lt; start",IF(AND(G31="Milestone",D31&lt;&gt;E31),"Use one date",IF(OR(D31&lt;$J$9,E31&gt;$AQ$9+6),"Outside view","OK"))))</x:f>
        <x:v>OK</x:v>
      </x:c>
      <x:c r="J31" s="30" t="str">
        <x:f t="shared" si="9">IF(AND(OR($I31="OK",$I31="Outside view"),$D31&lt;=J$9+6,$E31&gt;=J$9),IF($G31="Milestone","M",1),"")</x:f>
      </x:c>
      <x:c r="K31" s="30" t="str">
        <x:f t="shared" si="9">IF(AND(OR($I31="OK",$I31="Outside view"),$D31&lt;=K$9+6,$E31&gt;=K$9),IF($G31="Milestone","M",1),"")</x:f>
      </x:c>
      <x:c r="L31" s="30" t="str">
        <x:f t="shared" si="9">IF(AND(OR($I31="OK",$I31="Outside view"),$D31&lt;=L$9+6,$E31&gt;=L$9),IF($G31="Milestone","M",1),"")</x:f>
      </x:c>
      <x:c r="M31" s="30" t="str">
        <x:f t="shared" si="9">IF(AND(OR($I31="OK",$I31="Outside view"),$D31&lt;=M$9+6,$E31&gt;=M$9),IF($G31="Milestone","M",1),"")</x:f>
      </x:c>
      <x:c r="N31" s="30" t="str">
        <x:f t="shared" si="9">IF(AND(OR($I31="OK",$I31="Outside view"),$D31&lt;=N$9+6,$E31&gt;=N$9),IF($G31="Milestone","M",1),"")</x:f>
      </x:c>
      <x:c r="O31" s="30" t="str">
        <x:f t="shared" si="9">IF(AND(OR($I31="OK",$I31="Outside view"),$D31&lt;=O$9+6,$E31&gt;=O$9),IF($G31="Milestone","M",1),"")</x:f>
      </x:c>
      <x:c r="P31" s="30" t="str">
        <x:f t="shared" si="9">IF(AND(OR($I31="OK",$I31="Outside view"),$D31&lt;=P$9+6,$E31&gt;=P$9),IF($G31="Milestone","M",1),"")</x:f>
      </x:c>
      <x:c r="Q31" s="30" t="str">
        <x:f t="shared" si="9">IF(AND(OR($I31="OK",$I31="Outside view"),$D31&lt;=Q$9+6,$E31&gt;=Q$9),IF($G31="Milestone","M",1),"")</x:f>
      </x:c>
      <x:c r="R31" s="30" t="str">
        <x:f t="shared" si="9">IF(AND(OR($I31="OK",$I31="Outside view"),$D31&lt;=R$9+6,$E31&gt;=R$9),IF($G31="Milestone","M",1),"")</x:f>
      </x:c>
      <x:c r="S31" s="30" t="str">
        <x:f t="shared" si="9">IF(AND(OR($I31="OK",$I31="Outside view"),$D31&lt;=S$9+6,$E31&gt;=S$9),IF($G31="Milestone","M",1),"")</x:f>
      </x:c>
      <x:c r="T31" s="30" t="str">
        <x:f t="shared" si="10">IF(AND(OR($I31="OK",$I31="Outside view"),$D31&lt;=T$9+6,$E31&gt;=T$9),IF($G31="Milestone","M",1),"")</x:f>
      </x:c>
      <x:c r="U31" s="30" t="str">
        <x:f t="shared" si="10">IF(AND(OR($I31="OK",$I31="Outside view"),$D31&lt;=U$9+6,$E31&gt;=U$9),IF($G31="Milestone","M",1),"")</x:f>
      </x:c>
      <x:c r="V31" s="30" t="str">
        <x:f t="shared" si="10">IF(AND(OR($I31="OK",$I31="Outside view"),$D31&lt;=V$9+6,$E31&gt;=V$9),IF($G31="Milestone","M",1),"")</x:f>
      </x:c>
      <x:c r="W31" s="30" t="str">
        <x:f t="shared" si="10">IF(AND(OR($I31="OK",$I31="Outside view"),$D31&lt;=W$9+6,$E31&gt;=W$9),IF($G31="Milestone","M",1),"")</x:f>
      </x:c>
      <x:c r="X31" s="30" t="str">
        <x:f t="shared" si="10">IF(AND(OR($I31="OK",$I31="Outside view"),$D31&lt;=X$9+6,$E31&gt;=X$9),IF($G31="Milestone","M",1),"")</x:f>
      </x:c>
      <x:c r="Y31" s="30" t="str">
        <x:f t="shared" si="10">IF(AND(OR($I31="OK",$I31="Outside view"),$D31&lt;=Y$9+6,$E31&gt;=Y$9),IF($G31="Milestone","M",1),"")</x:f>
      </x:c>
      <x:c r="Z31" s="30" t="str">
        <x:f t="shared" si="10">IF(AND(OR($I31="OK",$I31="Outside view"),$D31&lt;=Z$9+6,$E31&gt;=Z$9),IF($G31="Milestone","M",1),"")</x:f>
      </x:c>
      <x:c r="AA31" s="30" t="str">
        <x:f t="shared" si="10">IF(AND(OR($I31="OK",$I31="Outside view"),$D31&lt;=AA$9+6,$E31&gt;=AA$9),IF($G31="Milestone","M",1),"")</x:f>
      </x:c>
      <x:c r="AB31" s="30" t="str">
        <x:f t="shared" si="10">IF(AND(OR($I31="OK",$I31="Outside view"),$D31&lt;=AB$9+6,$E31&gt;=AB$9),IF($G31="Milestone","M",1),"")</x:f>
      </x:c>
      <x:c r="AC31" s="30" t="str">
        <x:f t="shared" si="10">IF(AND(OR($I31="OK",$I31="Outside view"),$D31&lt;=AC$9+6,$E31&gt;=AC$9),IF($G31="Milestone","M",1),"")</x:f>
      </x:c>
      <x:c r="AD31" s="30" t="str">
        <x:f t="shared" si="11">IF(AND(OR($I31="OK",$I31="Outside view"),$D31&lt;=AD$9+6,$E31&gt;=AD$9),IF($G31="Milestone","M",1),"")</x:f>
      </x:c>
      <x:c r="AE31" s="30" t="str">
        <x:f t="shared" si="11">IF(AND(OR($I31="OK",$I31="Outside view"),$D31&lt;=AE$9+6,$E31&gt;=AE$9),IF($G31="Milestone","M",1),"")</x:f>
      </x:c>
      <x:c r="AF31" s="30" t="str">
        <x:f t="shared" si="11">IF(AND(OR($I31="OK",$I31="Outside view"),$D31&lt;=AF$9+6,$E31&gt;=AF$9),IF($G31="Milestone","M",1),"")</x:f>
      </x:c>
      <x:c r="AG31" s="30" t="str">
        <x:f t="shared" si="11">IF(AND(OR($I31="OK",$I31="Outside view"),$D31&lt;=AG$9+6,$E31&gt;=AG$9),IF($G31="Milestone","M",1),"")</x:f>
      </x:c>
      <x:c r="AH31" s="30" t="str">
        <x:f t="shared" si="11">IF(AND(OR($I31="OK",$I31="Outside view"),$D31&lt;=AH$9+6,$E31&gt;=AH$9),IF($G31="Milestone","M",1),"")</x:f>
      </x:c>
      <x:c r="AI31" s="30" t="str">
        <x:f t="shared" si="11">IF(AND(OR($I31="OK",$I31="Outside view"),$D31&lt;=AI$9+6,$E31&gt;=AI$9),IF($G31="Milestone","M",1),"")</x:f>
      </x:c>
      <x:c r="AJ31" s="30" t="str">
        <x:f t="shared" si="11">IF(AND(OR($I31="OK",$I31="Outside view"),$D31&lt;=AJ$9+6,$E31&gt;=AJ$9),IF($G31="Milestone","M",1),"")</x:f>
      </x:c>
      <x:c r="AK31" s="30" t="str">
        <x:f t="shared" si="11">IF(AND(OR($I31="OK",$I31="Outside view"),$D31&lt;=AK$9+6,$E31&gt;=AK$9),IF($G31="Milestone","M",1),"")</x:f>
      </x:c>
      <x:c r="AL31" s="30" t="n">
        <x:f t="shared" si="11">IF(AND(OR($I31="OK",$I31="Outside view"),$D31&lt;=AL$9+6,$E31&gt;=AL$9),IF($G31="Milestone","M",1),"")</x:f>
        <x:v>1</x:v>
      </x:c>
      <x:c r="AM31" s="30" t="n">
        <x:f t="shared" si="11">IF(AND(OR($I31="OK",$I31="Outside view"),$D31&lt;=AM$9+6,$E31&gt;=AM$9),IF($G31="Milestone","M",1),"")</x:f>
        <x:v>1</x:v>
      </x:c>
      <x:c r="AN31" s="30" t="str">
        <x:f t="shared" si="11">IF(AND(OR($I31="OK",$I31="Outside view"),$D31&lt;=AN$9+6,$E31&gt;=AN$9),IF($G31="Milestone","M",1),"")</x:f>
      </x:c>
      <x:c r="AO31" s="30" t="str">
        <x:f t="shared" si="11">IF(AND(OR($I31="OK",$I31="Outside view"),$D31&lt;=AO$9+6,$E31&gt;=AO$9),IF($G31="Milestone","M",1),"")</x:f>
      </x:c>
      <x:c r="AP31" s="30" t="str">
        <x:f t="shared" si="11">IF(AND(OR($I31="OK",$I31="Outside view"),$D31&lt;=AP$9+6,$E31&gt;=AP$9),IF($G31="Milestone","M",1),"")</x:f>
      </x:c>
      <x:c r="AQ31" s="30" t="str">
        <x:f t="shared" si="11">IF(AND(OR($I31="OK",$I31="Outside view"),$D31&lt;=AQ$9+6,$E31&gt;=AQ$9),IF($G31="Milestone","M",1),"")</x:f>
      </x:c>
    </x:row>
    <x:row r="32" ht="34.04999923706055" customHeight="1">
      <x:c r="A32" s="40" t="n">
        <x:v>23</x:v>
      </x:c>
      <x:c r="B32" s="40" t="str">
        <x:v>Integration</x:v>
      </x:c>
      <x:c r="C32" s="39" t="str">
        <x:v>Complete integrated parking system</x:v>
      </x:c>
      <x:c r="D32" s="10" t="n">
        <x:v>46477</x:v>
      </x:c>
      <x:c r="E32" s="10" t="n">
        <x:v>46477</x:v>
      </x:c>
      <x:c r="F32" s="1" t="n">
        <x:f t="shared" si="1">IF(OR(I32="OK",I32="Outside view"),IF(G32="Milestone",0,E32-D32+1),"")</x:f>
        <x:v>0</x:v>
      </x:c>
      <x:c r="G32" s="7" t="str">
        <x:v>Milestone</x:v>
      </x:c>
      <x:c r="H32" s="11"/>
      <x:c r="I32" s="1" t="str">
        <x:f t="shared" si="2">IF(OR(D32="",E32=""),"Missing dates",IF(E32&lt;D32,"Finish &lt; start",IF(AND(G32="Milestone",D32&lt;&gt;E32),"Use one date",IF(OR(D32&lt;$J$9,E32&gt;$AQ$9+6),"Outside view","OK"))))</x:f>
        <x:v>OK</x:v>
      </x:c>
      <x:c r="J32" s="30" t="str">
        <x:f t="shared" si="9">IF(AND(OR($I32="OK",$I32="Outside view"),$D32&lt;=J$9+6,$E32&gt;=J$9),IF($G32="Milestone","M",1),"")</x:f>
      </x:c>
      <x:c r="K32" s="30" t="str">
        <x:f t="shared" si="9">IF(AND(OR($I32="OK",$I32="Outside view"),$D32&lt;=K$9+6,$E32&gt;=K$9),IF($G32="Milestone","M",1),"")</x:f>
      </x:c>
      <x:c r="L32" s="30" t="str">
        <x:f t="shared" si="9">IF(AND(OR($I32="OK",$I32="Outside view"),$D32&lt;=L$9+6,$E32&gt;=L$9),IF($G32="Milestone","M",1),"")</x:f>
      </x:c>
      <x:c r="M32" s="30" t="str">
        <x:f t="shared" si="9">IF(AND(OR($I32="OK",$I32="Outside view"),$D32&lt;=M$9+6,$E32&gt;=M$9),IF($G32="Milestone","M",1),"")</x:f>
      </x:c>
      <x:c r="N32" s="30" t="str">
        <x:f t="shared" si="9">IF(AND(OR($I32="OK",$I32="Outside view"),$D32&lt;=N$9+6,$E32&gt;=N$9),IF($G32="Milestone","M",1),"")</x:f>
      </x:c>
      <x:c r="O32" s="30" t="str">
        <x:f t="shared" si="9">IF(AND(OR($I32="OK",$I32="Outside view"),$D32&lt;=O$9+6,$E32&gt;=O$9),IF($G32="Milestone","M",1),"")</x:f>
      </x:c>
      <x:c r="P32" s="30" t="str">
        <x:f t="shared" si="9">IF(AND(OR($I32="OK",$I32="Outside view"),$D32&lt;=P$9+6,$E32&gt;=P$9),IF($G32="Milestone","M",1),"")</x:f>
      </x:c>
      <x:c r="Q32" s="30" t="str">
        <x:f t="shared" si="9">IF(AND(OR($I32="OK",$I32="Outside view"),$D32&lt;=Q$9+6,$E32&gt;=Q$9),IF($G32="Milestone","M",1),"")</x:f>
      </x:c>
      <x:c r="R32" s="30" t="str">
        <x:f t="shared" si="9">IF(AND(OR($I32="OK",$I32="Outside view"),$D32&lt;=R$9+6,$E32&gt;=R$9),IF($G32="Milestone","M",1),"")</x:f>
      </x:c>
      <x:c r="S32" s="30" t="str">
        <x:f t="shared" si="9">IF(AND(OR($I32="OK",$I32="Outside view"),$D32&lt;=S$9+6,$E32&gt;=S$9),IF($G32="Milestone","M",1),"")</x:f>
      </x:c>
      <x:c r="T32" s="30" t="str">
        <x:f t="shared" si="10">IF(AND(OR($I32="OK",$I32="Outside view"),$D32&lt;=T$9+6,$E32&gt;=T$9),IF($G32="Milestone","M",1),"")</x:f>
      </x:c>
      <x:c r="U32" s="30" t="str">
        <x:f t="shared" si="10">IF(AND(OR($I32="OK",$I32="Outside view"),$D32&lt;=U$9+6,$E32&gt;=U$9),IF($G32="Milestone","M",1),"")</x:f>
      </x:c>
      <x:c r="V32" s="30" t="str">
        <x:f t="shared" si="10">IF(AND(OR($I32="OK",$I32="Outside view"),$D32&lt;=V$9+6,$E32&gt;=V$9),IF($G32="Milestone","M",1),"")</x:f>
      </x:c>
      <x:c r="W32" s="30" t="str">
        <x:f t="shared" si="10">IF(AND(OR($I32="OK",$I32="Outside view"),$D32&lt;=W$9+6,$E32&gt;=W$9),IF($G32="Milestone","M",1),"")</x:f>
      </x:c>
      <x:c r="X32" s="30" t="str">
        <x:f t="shared" si="10">IF(AND(OR($I32="OK",$I32="Outside view"),$D32&lt;=X$9+6,$E32&gt;=X$9),IF($G32="Milestone","M",1),"")</x:f>
      </x:c>
      <x:c r="Y32" s="30" t="str">
        <x:f t="shared" si="10">IF(AND(OR($I32="OK",$I32="Outside view"),$D32&lt;=Y$9+6,$E32&gt;=Y$9),IF($G32="Milestone","M",1),"")</x:f>
      </x:c>
      <x:c r="Z32" s="30" t="str">
        <x:f t="shared" si="10">IF(AND(OR($I32="OK",$I32="Outside view"),$D32&lt;=Z$9+6,$E32&gt;=Z$9),IF($G32="Milestone","M",1),"")</x:f>
      </x:c>
      <x:c r="AA32" s="30" t="str">
        <x:f t="shared" si="10">IF(AND(OR($I32="OK",$I32="Outside view"),$D32&lt;=AA$9+6,$E32&gt;=AA$9),IF($G32="Milestone","M",1),"")</x:f>
      </x:c>
      <x:c r="AB32" s="30" t="str">
        <x:f t="shared" si="10">IF(AND(OR($I32="OK",$I32="Outside view"),$D32&lt;=AB$9+6,$E32&gt;=AB$9),IF($G32="Milestone","M",1),"")</x:f>
      </x:c>
      <x:c r="AC32" s="30" t="str">
        <x:f t="shared" si="10">IF(AND(OR($I32="OK",$I32="Outside view"),$D32&lt;=AC$9+6,$E32&gt;=AC$9),IF($G32="Milestone","M",1),"")</x:f>
      </x:c>
      <x:c r="AD32" s="30" t="str">
        <x:f t="shared" si="11">IF(AND(OR($I32="OK",$I32="Outside view"),$D32&lt;=AD$9+6,$E32&gt;=AD$9),IF($G32="Milestone","M",1),"")</x:f>
      </x:c>
      <x:c r="AE32" s="30" t="str">
        <x:f t="shared" si="11">IF(AND(OR($I32="OK",$I32="Outside view"),$D32&lt;=AE$9+6,$E32&gt;=AE$9),IF($G32="Milestone","M",1),"")</x:f>
      </x:c>
      <x:c r="AF32" s="30" t="str">
        <x:f t="shared" si="11">IF(AND(OR($I32="OK",$I32="Outside view"),$D32&lt;=AF$9+6,$E32&gt;=AF$9),IF($G32="Milestone","M",1),"")</x:f>
      </x:c>
      <x:c r="AG32" s="30" t="str">
        <x:f t="shared" si="11">IF(AND(OR($I32="OK",$I32="Outside view"),$D32&lt;=AG$9+6,$E32&gt;=AG$9),IF($G32="Milestone","M",1),"")</x:f>
      </x:c>
      <x:c r="AH32" s="30" t="str">
        <x:f t="shared" si="11">IF(AND(OR($I32="OK",$I32="Outside view"),$D32&lt;=AH$9+6,$E32&gt;=AH$9),IF($G32="Milestone","M",1),"")</x:f>
      </x:c>
      <x:c r="AI32" s="30" t="str">
        <x:f t="shared" si="11">IF(AND(OR($I32="OK",$I32="Outside view"),$D32&lt;=AI$9+6,$E32&gt;=AI$9),IF($G32="Milestone","M",1),"")</x:f>
      </x:c>
      <x:c r="AJ32" s="30" t="str">
        <x:f t="shared" si="11">IF(AND(OR($I32="OK",$I32="Outside view"),$D32&lt;=AJ$9+6,$E32&gt;=AJ$9),IF($G32="Milestone","M",1),"")</x:f>
      </x:c>
      <x:c r="AK32" s="30" t="str">
        <x:f t="shared" si="11">IF(AND(OR($I32="OK",$I32="Outside view"),$D32&lt;=AK$9+6,$E32&gt;=AK$9),IF($G32="Milestone","M",1),"")</x:f>
      </x:c>
      <x:c r="AL32" s="30" t="str">
        <x:f t="shared" si="11">IF(AND(OR($I32="OK",$I32="Outside view"),$D32&lt;=AL$9+6,$E32&gt;=AL$9),IF($G32="Milestone","M",1),"")</x:f>
      </x:c>
      <x:c r="AM32" s="30" t="str">
        <x:f t="shared" si="11">IF(AND(OR($I32="OK",$I32="Outside view"),$D32&lt;=AM$9+6,$E32&gt;=AM$9),IF($G32="Milestone","M",1),"")</x:f>
        <x:v>M</x:v>
      </x:c>
      <x:c r="AN32" s="30" t="str">
        <x:f t="shared" si="11">IF(AND(OR($I32="OK",$I32="Outside view"),$D32&lt;=AN$9+6,$E32&gt;=AN$9),IF($G32="Milestone","M",1),"")</x:f>
      </x:c>
      <x:c r="AO32" s="30" t="str">
        <x:f t="shared" si="11">IF(AND(OR($I32="OK",$I32="Outside view"),$D32&lt;=AO$9+6,$E32&gt;=AO$9),IF($G32="Milestone","M",1),"")</x:f>
      </x:c>
      <x:c r="AP32" s="30" t="str">
        <x:f t="shared" si="11">IF(AND(OR($I32="OK",$I32="Outside view"),$D32&lt;=AP$9+6,$E32&gt;=AP$9),IF($G32="Milestone","M",1),"")</x:f>
      </x:c>
      <x:c r="AQ32" s="30" t="str">
        <x:f t="shared" si="11">IF(AND(OR($I32="OK",$I32="Outside view"),$D32&lt;=AQ$9+6,$E32&gt;=AQ$9),IF($G32="Milestone","M",1),"")</x:f>
      </x:c>
    </x:row>
    <x:row r="33" ht="34.04999923706055" customHeight="1">
      <x:c r="A33" s="44" t="n">
        <x:v>24</x:v>
      </x:c>
      <x:c r="B33" s="44" t="str">
        <x:v>Testing</x:v>
      </x:c>
      <x:c r="C33" s="35" t="str">
        <x:v>Prepare 20+ test cases and outdoor trial plan</x:v>
      </x:c>
      <x:c r="D33" s="10" t="n">
        <x:v>46454</x:v>
      </x:c>
      <x:c r="E33" s="10" t="n">
        <x:v>46472</x:v>
      </x:c>
      <x:c r="F33" s="1" t="n">
        <x:f t="shared" si="1">IF(OR(I33="OK",I33="Outside view"),IF(G33="Milestone",0,E33-D33+1),"")</x:f>
        <x:v>19</x:v>
      </x:c>
      <x:c r="G33" s="7" t="str">
        <x:v>Task</x:v>
      </x:c>
      <x:c r="H33" s="11"/>
      <x:c r="I33" s="1" t="str">
        <x:f t="shared" si="2">IF(OR(D33="",E33=""),"Missing dates",IF(E33&lt;D33,"Finish &lt; start",IF(AND(G33="Milestone",D33&lt;&gt;E33),"Use one date",IF(OR(D33&lt;$J$9,E33&gt;$AQ$9+6),"Outside view","OK"))))</x:f>
        <x:v>OK</x:v>
      </x:c>
      <x:c r="J33" s="30" t="str">
        <x:f t="shared" si="9">IF(AND(OR($I33="OK",$I33="Outside view"),$D33&lt;=J$9+6,$E33&gt;=J$9),IF($G33="Milestone","M",1),"")</x:f>
      </x:c>
      <x:c r="K33" s="30" t="str">
        <x:f t="shared" si="9">IF(AND(OR($I33="OK",$I33="Outside view"),$D33&lt;=K$9+6,$E33&gt;=K$9),IF($G33="Milestone","M",1),"")</x:f>
      </x:c>
      <x:c r="L33" s="30" t="str">
        <x:f t="shared" si="9">IF(AND(OR($I33="OK",$I33="Outside view"),$D33&lt;=L$9+6,$E33&gt;=L$9),IF($G33="Milestone","M",1),"")</x:f>
      </x:c>
      <x:c r="M33" s="30" t="str">
        <x:f t="shared" si="9">IF(AND(OR($I33="OK",$I33="Outside view"),$D33&lt;=M$9+6,$E33&gt;=M$9),IF($G33="Milestone","M",1),"")</x:f>
      </x:c>
      <x:c r="N33" s="30" t="str">
        <x:f t="shared" si="9">IF(AND(OR($I33="OK",$I33="Outside view"),$D33&lt;=N$9+6,$E33&gt;=N$9),IF($G33="Milestone","M",1),"")</x:f>
      </x:c>
      <x:c r="O33" s="30" t="str">
        <x:f t="shared" si="9">IF(AND(OR($I33="OK",$I33="Outside view"),$D33&lt;=O$9+6,$E33&gt;=O$9),IF($G33="Milestone","M",1),"")</x:f>
      </x:c>
      <x:c r="P33" s="30" t="str">
        <x:f t="shared" si="9">IF(AND(OR($I33="OK",$I33="Outside view"),$D33&lt;=P$9+6,$E33&gt;=P$9),IF($G33="Milestone","M",1),"")</x:f>
      </x:c>
      <x:c r="Q33" s="30" t="str">
        <x:f t="shared" si="9">IF(AND(OR($I33="OK",$I33="Outside view"),$D33&lt;=Q$9+6,$E33&gt;=Q$9),IF($G33="Milestone","M",1),"")</x:f>
      </x:c>
      <x:c r="R33" s="30" t="str">
        <x:f t="shared" si="9">IF(AND(OR($I33="OK",$I33="Outside view"),$D33&lt;=R$9+6,$E33&gt;=R$9),IF($G33="Milestone","M",1),"")</x:f>
      </x:c>
      <x:c r="S33" s="30" t="str">
        <x:f t="shared" si="9">IF(AND(OR($I33="OK",$I33="Outside view"),$D33&lt;=S$9+6,$E33&gt;=S$9),IF($G33="Milestone","M",1),"")</x:f>
      </x:c>
      <x:c r="T33" s="30" t="str">
        <x:f t="shared" si="10">IF(AND(OR($I33="OK",$I33="Outside view"),$D33&lt;=T$9+6,$E33&gt;=T$9),IF($G33="Milestone","M",1),"")</x:f>
      </x:c>
      <x:c r="U33" s="30" t="str">
        <x:f t="shared" si="10">IF(AND(OR($I33="OK",$I33="Outside view"),$D33&lt;=U$9+6,$E33&gt;=U$9),IF($G33="Milestone","M",1),"")</x:f>
      </x:c>
      <x:c r="V33" s="30" t="str">
        <x:f t="shared" si="10">IF(AND(OR($I33="OK",$I33="Outside view"),$D33&lt;=V$9+6,$E33&gt;=V$9),IF($G33="Milestone","M",1),"")</x:f>
      </x:c>
      <x:c r="W33" s="30" t="str">
        <x:f t="shared" si="10">IF(AND(OR($I33="OK",$I33="Outside view"),$D33&lt;=W$9+6,$E33&gt;=W$9),IF($G33="Milestone","M",1),"")</x:f>
      </x:c>
      <x:c r="X33" s="30" t="str">
        <x:f t="shared" si="10">IF(AND(OR($I33="OK",$I33="Outside view"),$D33&lt;=X$9+6,$E33&gt;=X$9),IF($G33="Milestone","M",1),"")</x:f>
      </x:c>
      <x:c r="Y33" s="30" t="str">
        <x:f t="shared" si="10">IF(AND(OR($I33="OK",$I33="Outside view"),$D33&lt;=Y$9+6,$E33&gt;=Y$9),IF($G33="Milestone","M",1),"")</x:f>
      </x:c>
      <x:c r="Z33" s="30" t="str">
        <x:f t="shared" si="10">IF(AND(OR($I33="OK",$I33="Outside view"),$D33&lt;=Z$9+6,$E33&gt;=Z$9),IF($G33="Milestone","M",1),"")</x:f>
      </x:c>
      <x:c r="AA33" s="30" t="str">
        <x:f t="shared" si="10">IF(AND(OR($I33="OK",$I33="Outside view"),$D33&lt;=AA$9+6,$E33&gt;=AA$9),IF($G33="Milestone","M",1),"")</x:f>
      </x:c>
      <x:c r="AB33" s="30" t="str">
        <x:f t="shared" si="10">IF(AND(OR($I33="OK",$I33="Outside view"),$D33&lt;=AB$9+6,$E33&gt;=AB$9),IF($G33="Milestone","M",1),"")</x:f>
      </x:c>
      <x:c r="AC33" s="30" t="str">
        <x:f t="shared" si="10">IF(AND(OR($I33="OK",$I33="Outside view"),$D33&lt;=AC$9+6,$E33&gt;=AC$9),IF($G33="Milestone","M",1),"")</x:f>
      </x:c>
      <x:c r="AD33" s="30" t="str">
        <x:f t="shared" si="11">IF(AND(OR($I33="OK",$I33="Outside view"),$D33&lt;=AD$9+6,$E33&gt;=AD$9),IF($G33="Milestone","M",1),"")</x:f>
      </x:c>
      <x:c r="AE33" s="30" t="str">
        <x:f t="shared" si="11">IF(AND(OR($I33="OK",$I33="Outside view"),$D33&lt;=AE$9+6,$E33&gt;=AE$9),IF($G33="Milestone","M",1),"")</x:f>
      </x:c>
      <x:c r="AF33" s="30" t="str">
        <x:f t="shared" si="11">IF(AND(OR($I33="OK",$I33="Outside view"),$D33&lt;=AF$9+6,$E33&gt;=AF$9),IF($G33="Milestone","M",1),"")</x:f>
      </x:c>
      <x:c r="AG33" s="30" t="str">
        <x:f t="shared" si="11">IF(AND(OR($I33="OK",$I33="Outside view"),$D33&lt;=AG$9+6,$E33&gt;=AG$9),IF($G33="Milestone","M",1),"")</x:f>
      </x:c>
      <x:c r="AH33" s="30" t="str">
        <x:f t="shared" si="11">IF(AND(OR($I33="OK",$I33="Outside view"),$D33&lt;=AH$9+6,$E33&gt;=AH$9),IF($G33="Milestone","M",1),"")</x:f>
      </x:c>
      <x:c r="AI33" s="30" t="str">
        <x:f t="shared" si="11">IF(AND(OR($I33="OK",$I33="Outside view"),$D33&lt;=AI$9+6,$E33&gt;=AI$9),IF($G33="Milestone","M",1),"")</x:f>
      </x:c>
      <x:c r="AJ33" s="30" t="n">
        <x:f t="shared" si="11">IF(AND(OR($I33="OK",$I33="Outside view"),$D33&lt;=AJ$9+6,$E33&gt;=AJ$9),IF($G33="Milestone","M",1),"")</x:f>
        <x:v>1</x:v>
      </x:c>
      <x:c r="AK33" s="30" t="n">
        <x:f t="shared" si="11">IF(AND(OR($I33="OK",$I33="Outside view"),$D33&lt;=AK$9+6,$E33&gt;=AK$9),IF($G33="Milestone","M",1),"")</x:f>
        <x:v>1</x:v>
      </x:c>
      <x:c r="AL33" s="30" t="n">
        <x:f t="shared" si="11">IF(AND(OR($I33="OK",$I33="Outside view"),$D33&lt;=AL$9+6,$E33&gt;=AL$9),IF($G33="Milestone","M",1),"")</x:f>
        <x:v>1</x:v>
      </x:c>
      <x:c r="AM33" s="30" t="str">
        <x:f t="shared" si="11">IF(AND(OR($I33="OK",$I33="Outside view"),$D33&lt;=AM$9+6,$E33&gt;=AM$9),IF($G33="Milestone","M",1),"")</x:f>
      </x:c>
      <x:c r="AN33" s="30" t="str">
        <x:f t="shared" si="11">IF(AND(OR($I33="OK",$I33="Outside view"),$D33&lt;=AN$9+6,$E33&gt;=AN$9),IF($G33="Milestone","M",1),"")</x:f>
      </x:c>
      <x:c r="AO33" s="30" t="str">
        <x:f t="shared" si="11">IF(AND(OR($I33="OK",$I33="Outside view"),$D33&lt;=AO$9+6,$E33&gt;=AO$9),IF($G33="Milestone","M",1),"")</x:f>
      </x:c>
      <x:c r="AP33" s="30" t="str">
        <x:f t="shared" si="11">IF(AND(OR($I33="OK",$I33="Outside view"),$D33&lt;=AP$9+6,$E33&gt;=AP$9),IF($G33="Milestone","M",1),"")</x:f>
      </x:c>
      <x:c r="AQ33" s="30" t="str">
        <x:f t="shared" si="11">IF(AND(OR($I33="OK",$I33="Outside view"),$D33&lt;=AQ$9+6,$E33&gt;=AQ$9),IF($G33="Milestone","M",1),"")</x:f>
      </x:c>
    </x:row>
    <x:row r="34" ht="34.04999923706055" customHeight="1">
      <x:c r="A34" s="45" t="n">
        <x:v>25</x:v>
      </x:c>
      <x:c r="B34" s="45" t="str">
        <x:v>Testing</x:v>
      </x:c>
      <x:c r="C34" s="33" t="str">
        <x:v>Run functional and repeated outdoor trials</x:v>
      </x:c>
      <x:c r="D34" s="14" t="n">
        <x:v>46478</x:v>
      </x:c>
      <x:c r="E34" s="14" t="n">
        <x:v>46493</x:v>
      </x:c>
      <x:c r="F34" s="15" t="n">
        <x:f t="shared" si="1">IF(OR(I34="OK",I34="Outside view"),IF(G34="Milestone",0,E34-D34+1),"")</x:f>
        <x:v>16</x:v>
      </x:c>
      <x:c r="G34" s="16" t="str">
        <x:v>Task</x:v>
      </x:c>
      <x:c r="H34" s="17"/>
      <x:c r="I34" s="15" t="str">
        <x:f t="shared" si="2">IF(OR(D34="",E34=""),"Missing dates",IF(E34&lt;D34,"Finish &lt; start",IF(AND(G34="Milestone",D34&lt;&gt;E34),"Use one date",IF(OR(D34&lt;$J$9,E34&gt;$AQ$9+6),"Outside view","OK"))))</x:f>
        <x:v>OK</x:v>
      </x:c>
      <x:c r="J34" s="29" t="str">
        <x:f t="shared" si="9">IF(AND(OR($I34="OK",$I34="Outside view"),$D34&lt;=J$9+6,$E34&gt;=J$9),IF($G34="Milestone","M",1),"")</x:f>
      </x:c>
      <x:c r="K34" s="29" t="str">
        <x:f t="shared" si="9">IF(AND(OR($I34="OK",$I34="Outside view"),$D34&lt;=K$9+6,$E34&gt;=K$9),IF($G34="Milestone","M",1),"")</x:f>
      </x:c>
      <x:c r="L34" s="29" t="str">
        <x:f t="shared" si="9">IF(AND(OR($I34="OK",$I34="Outside view"),$D34&lt;=L$9+6,$E34&gt;=L$9),IF($G34="Milestone","M",1),"")</x:f>
      </x:c>
      <x:c r="M34" s="29" t="str">
        <x:f t="shared" si="9">IF(AND(OR($I34="OK",$I34="Outside view"),$D34&lt;=M$9+6,$E34&gt;=M$9),IF($G34="Milestone","M",1),"")</x:f>
      </x:c>
      <x:c r="N34" s="29" t="str">
        <x:f t="shared" si="9">IF(AND(OR($I34="OK",$I34="Outside view"),$D34&lt;=N$9+6,$E34&gt;=N$9),IF($G34="Milestone","M",1),"")</x:f>
      </x:c>
      <x:c r="O34" s="29" t="str">
        <x:f t="shared" si="9">IF(AND(OR($I34="OK",$I34="Outside view"),$D34&lt;=O$9+6,$E34&gt;=O$9),IF($G34="Milestone","M",1),"")</x:f>
      </x:c>
      <x:c r="P34" s="29" t="str">
        <x:f t="shared" si="9">IF(AND(OR($I34="OK",$I34="Outside view"),$D34&lt;=P$9+6,$E34&gt;=P$9),IF($G34="Milestone","M",1),"")</x:f>
      </x:c>
      <x:c r="Q34" s="29" t="str">
        <x:f t="shared" si="9">IF(AND(OR($I34="OK",$I34="Outside view"),$D34&lt;=Q$9+6,$E34&gt;=Q$9),IF($G34="Milestone","M",1),"")</x:f>
      </x:c>
      <x:c r="R34" s="29" t="str">
        <x:f t="shared" si="9">IF(AND(OR($I34="OK",$I34="Outside view"),$D34&lt;=R$9+6,$E34&gt;=R$9),IF($G34="Milestone","M",1),"")</x:f>
      </x:c>
      <x:c r="S34" s="29" t="str">
        <x:f t="shared" si="9">IF(AND(OR($I34="OK",$I34="Outside view"),$D34&lt;=S$9+6,$E34&gt;=S$9),IF($G34="Milestone","M",1),"")</x:f>
      </x:c>
      <x:c r="T34" s="29" t="str">
        <x:f t="shared" si="10">IF(AND(OR($I34="OK",$I34="Outside view"),$D34&lt;=T$9+6,$E34&gt;=T$9),IF($G34="Milestone","M",1),"")</x:f>
      </x:c>
      <x:c r="U34" s="29" t="str">
        <x:f t="shared" si="10">IF(AND(OR($I34="OK",$I34="Outside view"),$D34&lt;=U$9+6,$E34&gt;=U$9),IF($G34="Milestone","M",1),"")</x:f>
      </x:c>
      <x:c r="V34" s="29" t="str">
        <x:f t="shared" si="10">IF(AND(OR($I34="OK",$I34="Outside view"),$D34&lt;=V$9+6,$E34&gt;=V$9),IF($G34="Milestone","M",1),"")</x:f>
      </x:c>
      <x:c r="W34" s="29" t="str">
        <x:f t="shared" si="10">IF(AND(OR($I34="OK",$I34="Outside view"),$D34&lt;=W$9+6,$E34&gt;=W$9),IF($G34="Milestone","M",1),"")</x:f>
      </x:c>
      <x:c r="X34" s="29" t="str">
        <x:f t="shared" si="10">IF(AND(OR($I34="OK",$I34="Outside view"),$D34&lt;=X$9+6,$E34&gt;=X$9),IF($G34="Milestone","M",1),"")</x:f>
      </x:c>
      <x:c r="Y34" s="29" t="str">
        <x:f t="shared" si="10">IF(AND(OR($I34="OK",$I34="Outside view"),$D34&lt;=Y$9+6,$E34&gt;=Y$9),IF($G34="Milestone","M",1),"")</x:f>
      </x:c>
      <x:c r="Z34" s="29" t="str">
        <x:f t="shared" si="10">IF(AND(OR($I34="OK",$I34="Outside view"),$D34&lt;=Z$9+6,$E34&gt;=Z$9),IF($G34="Milestone","M",1),"")</x:f>
      </x:c>
      <x:c r="AA34" s="29" t="str">
        <x:f t="shared" si="10">IF(AND(OR($I34="OK",$I34="Outside view"),$D34&lt;=AA$9+6,$E34&gt;=AA$9),IF($G34="Milestone","M",1),"")</x:f>
      </x:c>
      <x:c r="AB34" s="29" t="str">
        <x:f t="shared" si="10">IF(AND(OR($I34="OK",$I34="Outside view"),$D34&lt;=AB$9+6,$E34&gt;=AB$9),IF($G34="Milestone","M",1),"")</x:f>
      </x:c>
      <x:c r="AC34" s="29" t="str">
        <x:f t="shared" si="10">IF(AND(OR($I34="OK",$I34="Outside view"),$D34&lt;=AC$9+6,$E34&gt;=AC$9),IF($G34="Milestone","M",1),"")</x:f>
      </x:c>
      <x:c r="AD34" s="29" t="str">
        <x:f t="shared" si="11">IF(AND(OR($I34="OK",$I34="Outside view"),$D34&lt;=AD$9+6,$E34&gt;=AD$9),IF($G34="Milestone","M",1),"")</x:f>
      </x:c>
      <x:c r="AE34" s="29" t="str">
        <x:f t="shared" si="11">IF(AND(OR($I34="OK",$I34="Outside view"),$D34&lt;=AE$9+6,$E34&gt;=AE$9),IF($G34="Milestone","M",1),"")</x:f>
      </x:c>
      <x:c r="AF34" s="29" t="str">
        <x:f t="shared" si="11">IF(AND(OR($I34="OK",$I34="Outside view"),$D34&lt;=AF$9+6,$E34&gt;=AF$9),IF($G34="Milestone","M",1),"")</x:f>
      </x:c>
      <x:c r="AG34" s="29" t="str">
        <x:f t="shared" si="11">IF(AND(OR($I34="OK",$I34="Outside view"),$D34&lt;=AG$9+6,$E34&gt;=AG$9),IF($G34="Milestone","M",1),"")</x:f>
      </x:c>
      <x:c r="AH34" s="29" t="str">
        <x:f t="shared" si="11">IF(AND(OR($I34="OK",$I34="Outside view"),$D34&lt;=AH$9+6,$E34&gt;=AH$9),IF($G34="Milestone","M",1),"")</x:f>
      </x:c>
      <x:c r="AI34" s="29" t="str">
        <x:f t="shared" si="11">IF(AND(OR($I34="OK",$I34="Outside view"),$D34&lt;=AI$9+6,$E34&gt;=AI$9),IF($G34="Milestone","M",1),"")</x:f>
      </x:c>
      <x:c r="AJ34" s="29" t="str">
        <x:f t="shared" si="11">IF(AND(OR($I34="OK",$I34="Outside view"),$D34&lt;=AJ$9+6,$E34&gt;=AJ$9),IF($G34="Milestone","M",1),"")</x:f>
      </x:c>
      <x:c r="AK34" s="29" t="str">
        <x:f t="shared" si="11">IF(AND(OR($I34="OK",$I34="Outside view"),$D34&lt;=AK$9+6,$E34&gt;=AK$9),IF($G34="Milestone","M",1),"")</x:f>
      </x:c>
      <x:c r="AL34" s="29" t="str">
        <x:f t="shared" si="11">IF(AND(OR($I34="OK",$I34="Outside view"),$D34&lt;=AL$9+6,$E34&gt;=AL$9),IF($G34="Milestone","M",1),"")</x:f>
      </x:c>
      <x:c r="AM34" s="29" t="n">
        <x:f t="shared" si="11">IF(AND(OR($I34="OK",$I34="Outside view"),$D34&lt;=AM$9+6,$E34&gt;=AM$9),IF($G34="Milestone","M",1),"")</x:f>
        <x:v>1</x:v>
      </x:c>
      <x:c r="AN34" s="29" t="n">
        <x:f t="shared" si="11">IF(AND(OR($I34="OK",$I34="Outside view"),$D34&lt;=AN$9+6,$E34&gt;=AN$9),IF($G34="Milestone","M",1),"")</x:f>
        <x:v>1</x:v>
      </x:c>
      <x:c r="AO34" s="29" t="n">
        <x:f t="shared" si="11">IF(AND(OR($I34="OK",$I34="Outside view"),$D34&lt;=AO$9+6,$E34&gt;=AO$9),IF($G34="Milestone","M",1),"")</x:f>
        <x:v>1</x:v>
      </x:c>
      <x:c r="AP34" s="29" t="str">
        <x:f t="shared" si="11">IF(AND(OR($I34="OK",$I34="Outside view"),$D34&lt;=AP$9+6,$E34&gt;=AP$9),IF($G34="Milestone","M",1),"")</x:f>
      </x:c>
      <x:c r="AQ34" s="29" t="str">
        <x:f t="shared" si="11">IF(AND(OR($I34="OK",$I34="Outside view"),$D34&lt;=AQ$9+6,$E34&gt;=AQ$9),IF($G34="Milestone","M",1),"")</x:f>
      </x:c>
    </x:row>
    <x:row r="35" ht="34.04999923706055" customHeight="1">
      <x:c r="A35" s="44" t="n">
        <x:v>26</x:v>
      </x:c>
      <x:c r="B35" s="44" t="str">
        <x:v>Testing</x:v>
      </x:c>
      <x:c r="C35" s="35" t="str">
        <x:v>Fix defects, retest and evaluate performance</x:v>
      </x:c>
      <x:c r="D35" s="10" t="n">
        <x:v>46496</x:v>
      </x:c>
      <x:c r="E35" s="10" t="n">
        <x:v>46503</x:v>
      </x:c>
      <x:c r="F35" s="1" t="n">
        <x:f t="shared" si="1">IF(OR(I35="OK",I35="Outside view"),IF(G35="Milestone",0,E35-D35+1),"")</x:f>
        <x:v>8</x:v>
      </x:c>
      <x:c r="G35" s="7" t="str">
        <x:v>Task</x:v>
      </x:c>
      <x:c r="H35" s="11"/>
      <x:c r="I35" s="1" t="str">
        <x:f t="shared" si="2">IF(OR(D35="",E35=""),"Missing dates",IF(E35&lt;D35,"Finish &lt; start",IF(AND(G35="Milestone",D35&lt;&gt;E35),"Use one date",IF(OR(D35&lt;$J$9,E35&gt;$AQ$9+6),"Outside view","OK"))))</x:f>
        <x:v>OK</x:v>
      </x:c>
      <x:c r="J35" s="30" t="str">
        <x:f t="shared" si="9">IF(AND(OR($I35="OK",$I35="Outside view"),$D35&lt;=J$9+6,$E35&gt;=J$9),IF($G35="Milestone","M",1),"")</x:f>
      </x:c>
      <x:c r="K35" s="30" t="str">
        <x:f t="shared" si="9">IF(AND(OR($I35="OK",$I35="Outside view"),$D35&lt;=K$9+6,$E35&gt;=K$9),IF($G35="Milestone","M",1),"")</x:f>
      </x:c>
      <x:c r="L35" s="30" t="str">
        <x:f t="shared" si="9">IF(AND(OR($I35="OK",$I35="Outside view"),$D35&lt;=L$9+6,$E35&gt;=L$9),IF($G35="Milestone","M",1),"")</x:f>
      </x:c>
      <x:c r="M35" s="30" t="str">
        <x:f t="shared" si="9">IF(AND(OR($I35="OK",$I35="Outside view"),$D35&lt;=M$9+6,$E35&gt;=M$9),IF($G35="Milestone","M",1),"")</x:f>
      </x:c>
      <x:c r="N35" s="30" t="str">
        <x:f t="shared" si="9">IF(AND(OR($I35="OK",$I35="Outside view"),$D35&lt;=N$9+6,$E35&gt;=N$9),IF($G35="Milestone","M",1),"")</x:f>
      </x:c>
      <x:c r="O35" s="30" t="str">
        <x:f t="shared" si="9">IF(AND(OR($I35="OK",$I35="Outside view"),$D35&lt;=O$9+6,$E35&gt;=O$9),IF($G35="Milestone","M",1),"")</x:f>
      </x:c>
      <x:c r="P35" s="30" t="str">
        <x:f t="shared" si="9">IF(AND(OR($I35="OK",$I35="Outside view"),$D35&lt;=P$9+6,$E35&gt;=P$9),IF($G35="Milestone","M",1),"")</x:f>
      </x:c>
      <x:c r="Q35" s="30" t="str">
        <x:f t="shared" si="9">IF(AND(OR($I35="OK",$I35="Outside view"),$D35&lt;=Q$9+6,$E35&gt;=Q$9),IF($G35="Milestone","M",1),"")</x:f>
      </x:c>
      <x:c r="R35" s="30" t="str">
        <x:f t="shared" si="9">IF(AND(OR($I35="OK",$I35="Outside view"),$D35&lt;=R$9+6,$E35&gt;=R$9),IF($G35="Milestone","M",1),"")</x:f>
      </x:c>
      <x:c r="S35" s="30" t="str">
        <x:f t="shared" si="9">IF(AND(OR($I35="OK",$I35="Outside view"),$D35&lt;=S$9+6,$E35&gt;=S$9),IF($G35="Milestone","M",1),"")</x:f>
      </x:c>
      <x:c r="T35" s="30" t="str">
        <x:f t="shared" si="10">IF(AND(OR($I35="OK",$I35="Outside view"),$D35&lt;=T$9+6,$E35&gt;=T$9),IF($G35="Milestone","M",1),"")</x:f>
      </x:c>
      <x:c r="U35" s="30" t="str">
        <x:f t="shared" si="10">IF(AND(OR($I35="OK",$I35="Outside view"),$D35&lt;=U$9+6,$E35&gt;=U$9),IF($G35="Milestone","M",1),"")</x:f>
      </x:c>
      <x:c r="V35" s="30" t="str">
        <x:f t="shared" si="10">IF(AND(OR($I35="OK",$I35="Outside view"),$D35&lt;=V$9+6,$E35&gt;=V$9),IF($G35="Milestone","M",1),"")</x:f>
      </x:c>
      <x:c r="W35" s="30" t="str">
        <x:f t="shared" si="10">IF(AND(OR($I35="OK",$I35="Outside view"),$D35&lt;=W$9+6,$E35&gt;=W$9),IF($G35="Milestone","M",1),"")</x:f>
      </x:c>
      <x:c r="X35" s="30" t="str">
        <x:f t="shared" si="10">IF(AND(OR($I35="OK",$I35="Outside view"),$D35&lt;=X$9+6,$E35&gt;=X$9),IF($G35="Milestone","M",1),"")</x:f>
      </x:c>
      <x:c r="Y35" s="30" t="str">
        <x:f t="shared" si="10">IF(AND(OR($I35="OK",$I35="Outside view"),$D35&lt;=Y$9+6,$E35&gt;=Y$9),IF($G35="Milestone","M",1),"")</x:f>
      </x:c>
      <x:c r="Z35" s="30" t="str">
        <x:f t="shared" si="10">IF(AND(OR($I35="OK",$I35="Outside view"),$D35&lt;=Z$9+6,$E35&gt;=Z$9),IF($G35="Milestone","M",1),"")</x:f>
      </x:c>
      <x:c r="AA35" s="30" t="str">
        <x:f t="shared" si="10">IF(AND(OR($I35="OK",$I35="Outside view"),$D35&lt;=AA$9+6,$E35&gt;=AA$9),IF($G35="Milestone","M",1),"")</x:f>
      </x:c>
      <x:c r="AB35" s="30" t="str">
        <x:f t="shared" si="10">IF(AND(OR($I35="OK",$I35="Outside view"),$D35&lt;=AB$9+6,$E35&gt;=AB$9),IF($G35="Milestone","M",1),"")</x:f>
      </x:c>
      <x:c r="AC35" s="30" t="str">
        <x:f t="shared" si="10">IF(AND(OR($I35="OK",$I35="Outside view"),$D35&lt;=AC$9+6,$E35&gt;=AC$9),IF($G35="Milestone","M",1),"")</x:f>
      </x:c>
      <x:c r="AD35" s="30" t="str">
        <x:f t="shared" si="11">IF(AND(OR($I35="OK",$I35="Outside view"),$D35&lt;=AD$9+6,$E35&gt;=AD$9),IF($G35="Milestone","M",1),"")</x:f>
      </x:c>
      <x:c r="AE35" s="30" t="str">
        <x:f t="shared" si="11">IF(AND(OR($I35="OK",$I35="Outside view"),$D35&lt;=AE$9+6,$E35&gt;=AE$9),IF($G35="Milestone","M",1),"")</x:f>
      </x:c>
      <x:c r="AF35" s="30" t="str">
        <x:f t="shared" si="11">IF(AND(OR($I35="OK",$I35="Outside view"),$D35&lt;=AF$9+6,$E35&gt;=AF$9),IF($G35="Milestone","M",1),"")</x:f>
      </x:c>
      <x:c r="AG35" s="30" t="str">
        <x:f t="shared" si="11">IF(AND(OR($I35="OK",$I35="Outside view"),$D35&lt;=AG$9+6,$E35&gt;=AG$9),IF($G35="Milestone","M",1),"")</x:f>
      </x:c>
      <x:c r="AH35" s="30" t="str">
        <x:f t="shared" si="11">IF(AND(OR($I35="OK",$I35="Outside view"),$D35&lt;=AH$9+6,$E35&gt;=AH$9),IF($G35="Milestone","M",1),"")</x:f>
      </x:c>
      <x:c r="AI35" s="30" t="str">
        <x:f t="shared" si="11">IF(AND(OR($I35="OK",$I35="Outside view"),$D35&lt;=AI$9+6,$E35&gt;=AI$9),IF($G35="Milestone","M",1),"")</x:f>
      </x:c>
      <x:c r="AJ35" s="30" t="str">
        <x:f t="shared" si="11">IF(AND(OR($I35="OK",$I35="Outside view"),$D35&lt;=AJ$9+6,$E35&gt;=AJ$9),IF($G35="Milestone","M",1),"")</x:f>
      </x:c>
      <x:c r="AK35" s="30" t="str">
        <x:f t="shared" si="11">IF(AND(OR($I35="OK",$I35="Outside view"),$D35&lt;=AK$9+6,$E35&gt;=AK$9),IF($G35="Milestone","M",1),"")</x:f>
      </x:c>
      <x:c r="AL35" s="30" t="str">
        <x:f t="shared" si="11">IF(AND(OR($I35="OK",$I35="Outside view"),$D35&lt;=AL$9+6,$E35&gt;=AL$9),IF($G35="Milestone","M",1),"")</x:f>
      </x:c>
      <x:c r="AM35" s="30" t="str">
        <x:f t="shared" si="11">IF(AND(OR($I35="OK",$I35="Outside view"),$D35&lt;=AM$9+6,$E35&gt;=AM$9),IF($G35="Milestone","M",1),"")</x:f>
      </x:c>
      <x:c r="AN35" s="30" t="str">
        <x:f t="shared" si="11">IF(AND(OR($I35="OK",$I35="Outside view"),$D35&lt;=AN$9+6,$E35&gt;=AN$9),IF($G35="Milestone","M",1),"")</x:f>
      </x:c>
      <x:c r="AO35" s="30" t="str">
        <x:f t="shared" si="11">IF(AND(OR($I35="OK",$I35="Outside view"),$D35&lt;=AO$9+6,$E35&gt;=AO$9),IF($G35="Milestone","M",1),"")</x:f>
      </x:c>
      <x:c r="AP35" s="30" t="n">
        <x:f t="shared" si="11">IF(AND(OR($I35="OK",$I35="Outside view"),$D35&lt;=AP$9+6,$E35&gt;=AP$9),IF($G35="Milestone","M",1),"")</x:f>
        <x:v>1</x:v>
      </x:c>
      <x:c r="AQ35" s="30" t="n">
        <x:f t="shared" si="11">IF(AND(OR($I35="OK",$I35="Outside view"),$D35&lt;=AQ$9+6,$E35&gt;=AQ$9),IF($G35="Milestone","M",1),"")</x:f>
        <x:v>1</x:v>
      </x:c>
    </x:row>
    <x:row r="36" ht="34.04999923706055" customHeight="1">
      <x:c r="A36" s="46" t="n">
        <x:v>27</x:v>
      </x:c>
      <x:c r="B36" s="46" t="str">
        <x:v>Reporting</x:v>
      </x:c>
      <x:c r="C36" s="35" t="str">
        <x:v>Write methods, implementation and results chapters</x:v>
      </x:c>
      <x:c r="D36" s="10" t="n">
        <x:v>46328</x:v>
      </x:c>
      <x:c r="E36" s="10" t="n">
        <x:v>46500</x:v>
      </x:c>
      <x:c r="F36" s="1" t="n">
        <x:f t="shared" si="1">IF(OR(I36="OK",I36="Outside view"),IF(G36="Milestone",0,E36-D36+1),"")</x:f>
        <x:v>173</x:v>
      </x:c>
      <x:c r="G36" s="7" t="str">
        <x:v>Task</x:v>
      </x:c>
      <x:c r="H36" s="11"/>
      <x:c r="I36" s="1" t="str">
        <x:f t="shared" si="2">IF(OR(D36="",E36=""),"Missing dates",IF(E36&lt;D36,"Finish &lt; start",IF(AND(G36="Milestone",D36&lt;&gt;E36),"Use one date",IF(OR(D36&lt;$J$9,E36&gt;$AQ$9+6),"Outside view","OK"))))</x:f>
        <x:v>OK</x:v>
      </x:c>
      <x:c r="J36" s="30" t="str">
        <x:f t="shared" si="9">IF(AND(OR($I36="OK",$I36="Outside view"),$D36&lt;=J$9+6,$E36&gt;=J$9),IF($G36="Milestone","M",1),"")</x:f>
      </x:c>
      <x:c r="K36" s="30" t="str">
        <x:f t="shared" si="9">IF(AND(OR($I36="OK",$I36="Outside view"),$D36&lt;=K$9+6,$E36&gt;=K$9),IF($G36="Milestone","M",1),"")</x:f>
      </x:c>
      <x:c r="L36" s="30" t="str">
        <x:f t="shared" si="9">IF(AND(OR($I36="OK",$I36="Outside view"),$D36&lt;=L$9+6,$E36&gt;=L$9),IF($G36="Milestone","M",1),"")</x:f>
      </x:c>
      <x:c r="M36" s="30" t="str">
        <x:f t="shared" si="9">IF(AND(OR($I36="OK",$I36="Outside view"),$D36&lt;=M$9+6,$E36&gt;=M$9),IF($G36="Milestone","M",1),"")</x:f>
      </x:c>
      <x:c r="N36" s="30" t="str">
        <x:f t="shared" si="9">IF(AND(OR($I36="OK",$I36="Outside view"),$D36&lt;=N$9+6,$E36&gt;=N$9),IF($G36="Milestone","M",1),"")</x:f>
      </x:c>
      <x:c r="O36" s="30" t="str">
        <x:f t="shared" si="9">IF(AND(OR($I36="OK",$I36="Outside view"),$D36&lt;=O$9+6,$E36&gt;=O$9),IF($G36="Milestone","M",1),"")</x:f>
      </x:c>
      <x:c r="P36" s="30" t="str">
        <x:f t="shared" si="9">IF(AND(OR($I36="OK",$I36="Outside view"),$D36&lt;=P$9+6,$E36&gt;=P$9),IF($G36="Milestone","M",1),"")</x:f>
      </x:c>
      <x:c r="Q36" s="30" t="str">
        <x:f t="shared" si="9">IF(AND(OR($I36="OK",$I36="Outside view"),$D36&lt;=Q$9+6,$E36&gt;=Q$9),IF($G36="Milestone","M",1),"")</x:f>
      </x:c>
      <x:c r="R36" s="30" t="n">
        <x:f t="shared" si="9">IF(AND(OR($I36="OK",$I36="Outside view"),$D36&lt;=R$9+6,$E36&gt;=R$9),IF($G36="Milestone","M",1),"")</x:f>
        <x:v>1</x:v>
      </x:c>
      <x:c r="S36" s="30" t="n">
        <x:f t="shared" si="9">IF(AND(OR($I36="OK",$I36="Outside view"),$D36&lt;=S$9+6,$E36&gt;=S$9),IF($G36="Milestone","M",1),"")</x:f>
        <x:v>1</x:v>
      </x:c>
      <x:c r="T36" s="30" t="n">
        <x:f t="shared" si="10">IF(AND(OR($I36="OK",$I36="Outside view"),$D36&lt;=T$9+6,$E36&gt;=T$9),IF($G36="Milestone","M",1),"")</x:f>
        <x:v>1</x:v>
      </x:c>
      <x:c r="U36" s="30" t="n">
        <x:f t="shared" si="10">IF(AND(OR($I36="OK",$I36="Outside view"),$D36&lt;=U$9+6,$E36&gt;=U$9),IF($G36="Milestone","M",1),"")</x:f>
        <x:v>1</x:v>
      </x:c>
      <x:c r="V36" s="30" t="n">
        <x:f t="shared" si="10">IF(AND(OR($I36="OK",$I36="Outside view"),$D36&lt;=V$9+6,$E36&gt;=V$9),IF($G36="Milestone","M",1),"")</x:f>
        <x:v>1</x:v>
      </x:c>
      <x:c r="W36" s="30" t="n">
        <x:f t="shared" si="10">IF(AND(OR($I36="OK",$I36="Outside view"),$D36&lt;=W$9+6,$E36&gt;=W$9),IF($G36="Milestone","M",1),"")</x:f>
        <x:v>1</x:v>
      </x:c>
      <x:c r="X36" s="30" t="n">
        <x:f t="shared" si="10">IF(AND(OR($I36="OK",$I36="Outside view"),$D36&lt;=X$9+6,$E36&gt;=X$9),IF($G36="Milestone","M",1),"")</x:f>
        <x:v>1</x:v>
      </x:c>
      <x:c r="Y36" s="30" t="n">
        <x:f t="shared" si="10">IF(AND(OR($I36="OK",$I36="Outside view"),$D36&lt;=Y$9+6,$E36&gt;=Y$9),IF($G36="Milestone","M",1),"")</x:f>
        <x:v>1</x:v>
      </x:c>
      <x:c r="Z36" s="30" t="n">
        <x:f t="shared" si="10">IF(AND(OR($I36="OK",$I36="Outside view"),$D36&lt;=Z$9+6,$E36&gt;=Z$9),IF($G36="Milestone","M",1),"")</x:f>
        <x:v>1</x:v>
      </x:c>
      <x:c r="AA36" s="30" t="n">
        <x:f t="shared" si="10">IF(AND(OR($I36="OK",$I36="Outside view"),$D36&lt;=AA$9+6,$E36&gt;=AA$9),IF($G36="Milestone","M",1),"")</x:f>
        <x:v>1</x:v>
      </x:c>
      <x:c r="AB36" s="30" t="n">
        <x:f t="shared" si="10">IF(AND(OR($I36="OK",$I36="Outside view"),$D36&lt;=AB$9+6,$E36&gt;=AB$9),IF($G36="Milestone","M",1),"")</x:f>
        <x:v>1</x:v>
      </x:c>
      <x:c r="AC36" s="30" t="n">
        <x:f t="shared" si="10">IF(AND(OR($I36="OK",$I36="Outside view"),$D36&lt;=AC$9+6,$E36&gt;=AC$9),IF($G36="Milestone","M",1),"")</x:f>
        <x:v>1</x:v>
      </x:c>
      <x:c r="AD36" s="30" t="n">
        <x:f t="shared" si="11">IF(AND(OR($I36="OK",$I36="Outside view"),$D36&lt;=AD$9+6,$E36&gt;=AD$9),IF($G36="Milestone","M",1),"")</x:f>
        <x:v>1</x:v>
      </x:c>
      <x:c r="AE36" s="30" t="n">
        <x:f t="shared" si="11">IF(AND(OR($I36="OK",$I36="Outside view"),$D36&lt;=AE$9+6,$E36&gt;=AE$9),IF($G36="Milestone","M",1),"")</x:f>
        <x:v>1</x:v>
      </x:c>
      <x:c r="AF36" s="30" t="n">
        <x:f t="shared" si="11">IF(AND(OR($I36="OK",$I36="Outside view"),$D36&lt;=AF$9+6,$E36&gt;=AF$9),IF($G36="Milestone","M",1),"")</x:f>
        <x:v>1</x:v>
      </x:c>
      <x:c r="AG36" s="30" t="n">
        <x:f t="shared" si="11">IF(AND(OR($I36="OK",$I36="Outside view"),$D36&lt;=AG$9+6,$E36&gt;=AG$9),IF($G36="Milestone","M",1),"")</x:f>
        <x:v>1</x:v>
      </x:c>
      <x:c r="AH36" s="30" t="n">
        <x:f t="shared" si="11">IF(AND(OR($I36="OK",$I36="Outside view"),$D36&lt;=AH$9+6,$E36&gt;=AH$9),IF($G36="Milestone","M",1),"")</x:f>
        <x:v>1</x:v>
      </x:c>
      <x:c r="AI36" s="30" t="n">
        <x:f t="shared" si="11">IF(AND(OR($I36="OK",$I36="Outside view"),$D36&lt;=AI$9+6,$E36&gt;=AI$9),IF($G36="Milestone","M",1),"")</x:f>
        <x:v>1</x:v>
      </x:c>
      <x:c r="AJ36" s="30" t="n">
        <x:f t="shared" si="11">IF(AND(OR($I36="OK",$I36="Outside view"),$D36&lt;=AJ$9+6,$E36&gt;=AJ$9),IF($G36="Milestone","M",1),"")</x:f>
        <x:v>1</x:v>
      </x:c>
      <x:c r="AK36" s="30" t="n">
        <x:f t="shared" si="11">IF(AND(OR($I36="OK",$I36="Outside view"),$D36&lt;=AK$9+6,$E36&gt;=AK$9),IF($G36="Milestone","M",1),"")</x:f>
        <x:v>1</x:v>
      </x:c>
      <x:c r="AL36" s="30" t="n">
        <x:f t="shared" si="11">IF(AND(OR($I36="OK",$I36="Outside view"),$D36&lt;=AL$9+6,$E36&gt;=AL$9),IF($G36="Milestone","M",1),"")</x:f>
        <x:v>1</x:v>
      </x:c>
      <x:c r="AM36" s="30" t="n">
        <x:f t="shared" si="11">IF(AND(OR($I36="OK",$I36="Outside view"),$D36&lt;=AM$9+6,$E36&gt;=AM$9),IF($G36="Milestone","M",1),"")</x:f>
        <x:v>1</x:v>
      </x:c>
      <x:c r="AN36" s="30" t="n">
        <x:f t="shared" si="11">IF(AND(OR($I36="OK",$I36="Outside view"),$D36&lt;=AN$9+6,$E36&gt;=AN$9),IF($G36="Milestone","M",1),"")</x:f>
        <x:v>1</x:v>
      </x:c>
      <x:c r="AO36" s="30" t="n">
        <x:f t="shared" si="11">IF(AND(OR($I36="OK",$I36="Outside view"),$D36&lt;=AO$9+6,$E36&gt;=AO$9),IF($G36="Milestone","M",1),"")</x:f>
        <x:v>1</x:v>
      </x:c>
      <x:c r="AP36" s="30" t="n">
        <x:f t="shared" si="11">IF(AND(OR($I36="OK",$I36="Outside view"),$D36&lt;=AP$9+6,$E36&gt;=AP$9),IF($G36="Milestone","M",1),"")</x:f>
        <x:v>1</x:v>
      </x:c>
      <x:c r="AQ36" s="30" t="str">
        <x:f t="shared" si="11">IF(AND(OR($I36="OK",$I36="Outside view"),$D36&lt;=AQ$9+6,$E36&gt;=AQ$9),IF($G36="Milestone","M",1),"")</x:f>
      </x:c>
    </x:row>
    <x:row r="37" ht="34.04999923706055" customHeight="1">
      <x:c r="A37" s="47" t="n">
        <x:v>28</x:v>
      </x:c>
      <x:c r="B37" s="47" t="str">
        <x:v>Reporting</x:v>
      </x:c>
      <x:c r="C37" s="33" t="str">
        <x:v>Prepare final report, demonstration and presentation</x:v>
      </x:c>
      <x:c r="D37" s="14" t="n">
        <x:v>46496</x:v>
      </x:c>
      <x:c r="E37" s="14" t="n">
        <x:v>46506</x:v>
      </x:c>
      <x:c r="F37" s="15" t="n">
        <x:f t="shared" si="1">IF(OR(I37="OK",I37="Outside view"),IF(G37="Milestone",0,E37-D37+1),"")</x:f>
        <x:v>11</x:v>
      </x:c>
      <x:c r="G37" s="16" t="str">
        <x:v>Task</x:v>
      </x:c>
      <x:c r="H37" s="17"/>
      <x:c r="I37" s="15" t="str">
        <x:f t="shared" si="2">IF(OR(D37="",E37=""),"Missing dates",IF(E37&lt;D37,"Finish &lt; start",IF(AND(G37="Milestone",D37&lt;&gt;E37),"Use one date",IF(OR(D37&lt;$J$9,E37&gt;$AQ$9+6),"Outside view","OK"))))</x:f>
        <x:v>OK</x:v>
      </x:c>
      <x:c r="J37" s="29" t="str">
        <x:f t="shared" si="9">IF(AND(OR($I37="OK",$I37="Outside view"),$D37&lt;=J$9+6,$E37&gt;=J$9),IF($G37="Milestone","M",1),"")</x:f>
      </x:c>
      <x:c r="K37" s="29" t="str">
        <x:f t="shared" si="9">IF(AND(OR($I37="OK",$I37="Outside view"),$D37&lt;=K$9+6,$E37&gt;=K$9),IF($G37="Milestone","M",1),"")</x:f>
      </x:c>
      <x:c r="L37" s="29" t="str">
        <x:f t="shared" si="9">IF(AND(OR($I37="OK",$I37="Outside view"),$D37&lt;=L$9+6,$E37&gt;=L$9),IF($G37="Milestone","M",1),"")</x:f>
      </x:c>
      <x:c r="M37" s="29" t="str">
        <x:f t="shared" si="9">IF(AND(OR($I37="OK",$I37="Outside view"),$D37&lt;=M$9+6,$E37&gt;=M$9),IF($G37="Milestone","M",1),"")</x:f>
      </x:c>
      <x:c r="N37" s="29" t="str">
        <x:f t="shared" si="9">IF(AND(OR($I37="OK",$I37="Outside view"),$D37&lt;=N$9+6,$E37&gt;=N$9),IF($G37="Milestone","M",1),"")</x:f>
      </x:c>
      <x:c r="O37" s="29" t="str">
        <x:f t="shared" si="9">IF(AND(OR($I37="OK",$I37="Outside view"),$D37&lt;=O$9+6,$E37&gt;=O$9),IF($G37="Milestone","M",1),"")</x:f>
      </x:c>
      <x:c r="P37" s="29" t="str">
        <x:f t="shared" si="9">IF(AND(OR($I37="OK",$I37="Outside view"),$D37&lt;=P$9+6,$E37&gt;=P$9),IF($G37="Milestone","M",1),"")</x:f>
      </x:c>
      <x:c r="Q37" s="29" t="str">
        <x:f t="shared" si="9">IF(AND(OR($I37="OK",$I37="Outside view"),$D37&lt;=Q$9+6,$E37&gt;=Q$9),IF($G37="Milestone","M",1),"")</x:f>
      </x:c>
      <x:c r="R37" s="29" t="str">
        <x:f t="shared" si="9">IF(AND(OR($I37="OK",$I37="Outside view"),$D37&lt;=R$9+6,$E37&gt;=R$9),IF($G37="Milestone","M",1),"")</x:f>
      </x:c>
      <x:c r="S37" s="29" t="str">
        <x:f t="shared" si="9">IF(AND(OR($I37="OK",$I37="Outside view"),$D37&lt;=S$9+6,$E37&gt;=S$9),IF($G37="Milestone","M",1),"")</x:f>
      </x:c>
      <x:c r="T37" s="29" t="str">
        <x:f t="shared" si="10">IF(AND(OR($I37="OK",$I37="Outside view"),$D37&lt;=T$9+6,$E37&gt;=T$9),IF($G37="Milestone","M",1),"")</x:f>
      </x:c>
      <x:c r="U37" s="29" t="str">
        <x:f t="shared" si="10">IF(AND(OR($I37="OK",$I37="Outside view"),$D37&lt;=U$9+6,$E37&gt;=U$9),IF($G37="Milestone","M",1),"")</x:f>
      </x:c>
      <x:c r="V37" s="29" t="str">
        <x:f t="shared" si="10">IF(AND(OR($I37="OK",$I37="Outside view"),$D37&lt;=V$9+6,$E37&gt;=V$9),IF($G37="Milestone","M",1),"")</x:f>
      </x:c>
      <x:c r="W37" s="29" t="str">
        <x:f t="shared" si="10">IF(AND(OR($I37="OK",$I37="Outside view"),$D37&lt;=W$9+6,$E37&gt;=W$9),IF($G37="Milestone","M",1),"")</x:f>
      </x:c>
      <x:c r="X37" s="29" t="str">
        <x:f t="shared" si="10">IF(AND(OR($I37="OK",$I37="Outside view"),$D37&lt;=X$9+6,$E37&gt;=X$9),IF($G37="Milestone","M",1),"")</x:f>
      </x:c>
      <x:c r="Y37" s="29" t="str">
        <x:f t="shared" si="10">IF(AND(OR($I37="OK",$I37="Outside view"),$D37&lt;=Y$9+6,$E37&gt;=Y$9),IF($G37="Milestone","M",1),"")</x:f>
      </x:c>
      <x:c r="Z37" s="29" t="str">
        <x:f t="shared" si="10">IF(AND(OR($I37="OK",$I37="Outside view"),$D37&lt;=Z$9+6,$E37&gt;=Z$9),IF($G37="Milestone","M",1),"")</x:f>
      </x:c>
      <x:c r="AA37" s="29" t="str">
        <x:f t="shared" si="10">IF(AND(OR($I37="OK",$I37="Outside view"),$D37&lt;=AA$9+6,$E37&gt;=AA$9),IF($G37="Milestone","M",1),"")</x:f>
      </x:c>
      <x:c r="AB37" s="29" t="str">
        <x:f t="shared" si="10">IF(AND(OR($I37="OK",$I37="Outside view"),$D37&lt;=AB$9+6,$E37&gt;=AB$9),IF($G37="Milestone","M",1),"")</x:f>
      </x:c>
      <x:c r="AC37" s="29" t="str">
        <x:f t="shared" si="10">IF(AND(OR($I37="OK",$I37="Outside view"),$D37&lt;=AC$9+6,$E37&gt;=AC$9),IF($G37="Milestone","M",1),"")</x:f>
      </x:c>
      <x:c r="AD37" s="29" t="str">
        <x:f t="shared" si="11">IF(AND(OR($I37="OK",$I37="Outside view"),$D37&lt;=AD$9+6,$E37&gt;=AD$9),IF($G37="Milestone","M",1),"")</x:f>
      </x:c>
      <x:c r="AE37" s="29" t="str">
        <x:f t="shared" si="11">IF(AND(OR($I37="OK",$I37="Outside view"),$D37&lt;=AE$9+6,$E37&gt;=AE$9),IF($G37="Milestone","M",1),"")</x:f>
      </x:c>
      <x:c r="AF37" s="29" t="str">
        <x:f t="shared" si="11">IF(AND(OR($I37="OK",$I37="Outside view"),$D37&lt;=AF$9+6,$E37&gt;=AF$9),IF($G37="Milestone","M",1),"")</x:f>
      </x:c>
      <x:c r="AG37" s="29" t="str">
        <x:f t="shared" si="11">IF(AND(OR($I37="OK",$I37="Outside view"),$D37&lt;=AG$9+6,$E37&gt;=AG$9),IF($G37="Milestone","M",1),"")</x:f>
      </x:c>
      <x:c r="AH37" s="29" t="str">
        <x:f t="shared" si="11">IF(AND(OR($I37="OK",$I37="Outside view"),$D37&lt;=AH$9+6,$E37&gt;=AH$9),IF($G37="Milestone","M",1),"")</x:f>
      </x:c>
      <x:c r="AI37" s="29" t="str">
        <x:f t="shared" si="11">IF(AND(OR($I37="OK",$I37="Outside view"),$D37&lt;=AI$9+6,$E37&gt;=AI$9),IF($G37="Milestone","M",1),"")</x:f>
      </x:c>
      <x:c r="AJ37" s="29" t="str">
        <x:f t="shared" si="11">IF(AND(OR($I37="OK",$I37="Outside view"),$D37&lt;=AJ$9+6,$E37&gt;=AJ$9),IF($G37="Milestone","M",1),"")</x:f>
      </x:c>
      <x:c r="AK37" s="29" t="str">
        <x:f t="shared" si="11">IF(AND(OR($I37="OK",$I37="Outside view"),$D37&lt;=AK$9+6,$E37&gt;=AK$9),IF($G37="Milestone","M",1),"")</x:f>
      </x:c>
      <x:c r="AL37" s="29" t="str">
        <x:f t="shared" si="11">IF(AND(OR($I37="OK",$I37="Outside view"),$D37&lt;=AL$9+6,$E37&gt;=AL$9),IF($G37="Milestone","M",1),"")</x:f>
      </x:c>
      <x:c r="AM37" s="29" t="str">
        <x:f t="shared" si="11">IF(AND(OR($I37="OK",$I37="Outside view"),$D37&lt;=AM$9+6,$E37&gt;=AM$9),IF($G37="Milestone","M",1),"")</x:f>
      </x:c>
      <x:c r="AN37" s="29" t="str">
        <x:f t="shared" si="11">IF(AND(OR($I37="OK",$I37="Outside view"),$D37&lt;=AN$9+6,$E37&gt;=AN$9),IF($G37="Milestone","M",1),"")</x:f>
      </x:c>
      <x:c r="AO37" s="29" t="str">
        <x:f t="shared" si="11">IF(AND(OR($I37="OK",$I37="Outside view"),$D37&lt;=AO$9+6,$E37&gt;=AO$9),IF($G37="Milestone","M",1),"")</x:f>
      </x:c>
      <x:c r="AP37" s="29" t="n">
        <x:f t="shared" si="11">IF(AND(OR($I37="OK",$I37="Outside view"),$D37&lt;=AP$9+6,$E37&gt;=AP$9),IF($G37="Milestone","M",1),"")</x:f>
        <x:v>1</x:v>
      </x:c>
      <x:c r="AQ37" s="29" t="n">
        <x:f t="shared" si="11">IF(AND(OR($I37="OK",$I37="Outside view"),$D37&lt;=AQ$9+6,$E37&gt;=AQ$9),IF($G37="Milestone","M",1),"")</x:f>
        <x:v>1</x:v>
      </x:c>
    </x:row>
    <x:row r="38" ht="34.04999923706055" customHeight="1">
      <x:c r="A38" s="46" t="n">
        <x:v>29</x:v>
      </x:c>
      <x:c r="B38" s="46" t="str">
        <x:v>Reporting</x:v>
      </x:c>
      <x:c r="C38" s="39" t="str">
        <x:v>Complete testing and final project review</x:v>
      </x:c>
      <x:c r="D38" s="10" t="n">
        <x:v>46507</x:v>
      </x:c>
      <x:c r="E38" s="10" t="n">
        <x:v>46507</x:v>
      </x:c>
      <x:c r="F38" s="1" t="n">
        <x:f t="shared" si="1">IF(OR(I38="OK",I38="Outside view"),IF(G38="Milestone",0,E38-D38+1),"")</x:f>
        <x:v>0</x:v>
      </x:c>
      <x:c r="G38" s="7" t="str">
        <x:v>Milestone</x:v>
      </x:c>
      <x:c r="H38" s="11"/>
      <x:c r="I38" s="1" t="str">
        <x:f t="shared" si="2">IF(OR(D38="",E38=""),"Missing dates",IF(E38&lt;D38,"Finish &lt; start",IF(AND(G38="Milestone",D38&lt;&gt;E38),"Use one date",IF(OR(D38&lt;$J$9,E38&gt;$AQ$9+6),"Outside view","OK"))))</x:f>
        <x:v>OK</x:v>
      </x:c>
      <x:c r="J38" s="30" t="str">
        <x:f t="shared" si="9">IF(AND(OR($I38="OK",$I38="Outside view"),$D38&lt;=J$9+6,$E38&gt;=J$9),IF($G38="Milestone","M",1),"")</x:f>
      </x:c>
      <x:c r="K38" s="30" t="str">
        <x:f t="shared" si="9">IF(AND(OR($I38="OK",$I38="Outside view"),$D38&lt;=K$9+6,$E38&gt;=K$9),IF($G38="Milestone","M",1),"")</x:f>
      </x:c>
      <x:c r="L38" s="30" t="str">
        <x:f t="shared" si="9">IF(AND(OR($I38="OK",$I38="Outside view"),$D38&lt;=L$9+6,$E38&gt;=L$9),IF($G38="Milestone","M",1),"")</x:f>
      </x:c>
      <x:c r="M38" s="30" t="str">
        <x:f t="shared" si="9">IF(AND(OR($I38="OK",$I38="Outside view"),$D38&lt;=M$9+6,$E38&gt;=M$9),IF($G38="Milestone","M",1),"")</x:f>
      </x:c>
      <x:c r="N38" s="30" t="str">
        <x:f t="shared" si="9">IF(AND(OR($I38="OK",$I38="Outside view"),$D38&lt;=N$9+6,$E38&gt;=N$9),IF($G38="Milestone","M",1),"")</x:f>
      </x:c>
      <x:c r="O38" s="30" t="str">
        <x:f t="shared" si="9">IF(AND(OR($I38="OK",$I38="Outside view"),$D38&lt;=O$9+6,$E38&gt;=O$9),IF($G38="Milestone","M",1),"")</x:f>
      </x:c>
      <x:c r="P38" s="30" t="str">
        <x:f t="shared" si="9">IF(AND(OR($I38="OK",$I38="Outside view"),$D38&lt;=P$9+6,$E38&gt;=P$9),IF($G38="Milestone","M",1),"")</x:f>
      </x:c>
      <x:c r="Q38" s="30" t="str">
        <x:f t="shared" si="9">IF(AND(OR($I38="OK",$I38="Outside view"),$D38&lt;=Q$9+6,$E38&gt;=Q$9),IF($G38="Milestone","M",1),"")</x:f>
      </x:c>
      <x:c r="R38" s="30" t="str">
        <x:f t="shared" si="9">IF(AND(OR($I38="OK",$I38="Outside view"),$D38&lt;=R$9+6,$E38&gt;=R$9),IF($G38="Milestone","M",1),"")</x:f>
      </x:c>
      <x:c r="S38" s="30" t="str">
        <x:f t="shared" si="9">IF(AND(OR($I38="OK",$I38="Outside view"),$D38&lt;=S$9+6,$E38&gt;=S$9),IF($G38="Milestone","M",1),"")</x:f>
      </x:c>
      <x:c r="T38" s="30" t="str">
        <x:f t="shared" si="10">IF(AND(OR($I38="OK",$I38="Outside view"),$D38&lt;=T$9+6,$E38&gt;=T$9),IF($G38="Milestone","M",1),"")</x:f>
      </x:c>
      <x:c r="U38" s="30" t="str">
        <x:f t="shared" si="10">IF(AND(OR($I38="OK",$I38="Outside view"),$D38&lt;=U$9+6,$E38&gt;=U$9),IF($G38="Milestone","M",1),"")</x:f>
      </x:c>
      <x:c r="V38" s="30" t="str">
        <x:f t="shared" si="10">IF(AND(OR($I38="OK",$I38="Outside view"),$D38&lt;=V$9+6,$E38&gt;=V$9),IF($G38="Milestone","M",1),"")</x:f>
      </x:c>
      <x:c r="W38" s="30" t="str">
        <x:f t="shared" si="10">IF(AND(OR($I38="OK",$I38="Outside view"),$D38&lt;=W$9+6,$E38&gt;=W$9),IF($G38="Milestone","M",1),"")</x:f>
      </x:c>
      <x:c r="X38" s="30" t="str">
        <x:f t="shared" si="10">IF(AND(OR($I38="OK",$I38="Outside view"),$D38&lt;=X$9+6,$E38&gt;=X$9),IF($G38="Milestone","M",1),"")</x:f>
      </x:c>
      <x:c r="Y38" s="30" t="str">
        <x:f t="shared" si="10">IF(AND(OR($I38="OK",$I38="Outside view"),$D38&lt;=Y$9+6,$E38&gt;=Y$9),IF($G38="Milestone","M",1),"")</x:f>
      </x:c>
      <x:c r="Z38" s="30" t="str">
        <x:f t="shared" si="10">IF(AND(OR($I38="OK",$I38="Outside view"),$D38&lt;=Z$9+6,$E38&gt;=Z$9),IF($G38="Milestone","M",1),"")</x:f>
      </x:c>
      <x:c r="AA38" s="30" t="str">
        <x:f t="shared" si="10">IF(AND(OR($I38="OK",$I38="Outside view"),$D38&lt;=AA$9+6,$E38&gt;=AA$9),IF($G38="Milestone","M",1),"")</x:f>
      </x:c>
      <x:c r="AB38" s="30" t="str">
        <x:f t="shared" si="10">IF(AND(OR($I38="OK",$I38="Outside view"),$D38&lt;=AB$9+6,$E38&gt;=AB$9),IF($G38="Milestone","M",1),"")</x:f>
      </x:c>
      <x:c r="AC38" s="30" t="str">
        <x:f t="shared" si="10">IF(AND(OR($I38="OK",$I38="Outside view"),$D38&lt;=AC$9+6,$E38&gt;=AC$9),IF($G38="Milestone","M",1),"")</x:f>
      </x:c>
      <x:c r="AD38" s="30" t="str">
        <x:f t="shared" si="11">IF(AND(OR($I38="OK",$I38="Outside view"),$D38&lt;=AD$9+6,$E38&gt;=AD$9),IF($G38="Milestone","M",1),"")</x:f>
      </x:c>
      <x:c r="AE38" s="30" t="str">
        <x:f t="shared" si="11">IF(AND(OR($I38="OK",$I38="Outside view"),$D38&lt;=AE$9+6,$E38&gt;=AE$9),IF($G38="Milestone","M",1),"")</x:f>
      </x:c>
      <x:c r="AF38" s="30" t="str">
        <x:f t="shared" si="11">IF(AND(OR($I38="OK",$I38="Outside view"),$D38&lt;=AF$9+6,$E38&gt;=AF$9),IF($G38="Milestone","M",1),"")</x:f>
      </x:c>
      <x:c r="AG38" s="30" t="str">
        <x:f t="shared" si="11">IF(AND(OR($I38="OK",$I38="Outside view"),$D38&lt;=AG$9+6,$E38&gt;=AG$9),IF($G38="Milestone","M",1),"")</x:f>
      </x:c>
      <x:c r="AH38" s="30" t="str">
        <x:f t="shared" si="11">IF(AND(OR($I38="OK",$I38="Outside view"),$D38&lt;=AH$9+6,$E38&gt;=AH$9),IF($G38="Milestone","M",1),"")</x:f>
      </x:c>
      <x:c r="AI38" s="30" t="str">
        <x:f t="shared" si="11">IF(AND(OR($I38="OK",$I38="Outside view"),$D38&lt;=AI$9+6,$E38&gt;=AI$9),IF($G38="Milestone","M",1),"")</x:f>
      </x:c>
      <x:c r="AJ38" s="30" t="str">
        <x:f t="shared" si="11">IF(AND(OR($I38="OK",$I38="Outside view"),$D38&lt;=AJ$9+6,$E38&gt;=AJ$9),IF($G38="Milestone","M",1),"")</x:f>
      </x:c>
      <x:c r="AK38" s="30" t="str">
        <x:f t="shared" si="11">IF(AND(OR($I38="OK",$I38="Outside view"),$D38&lt;=AK$9+6,$E38&gt;=AK$9),IF($G38="Milestone","M",1),"")</x:f>
      </x:c>
      <x:c r="AL38" s="30" t="str">
        <x:f t="shared" si="11">IF(AND(OR($I38="OK",$I38="Outside view"),$D38&lt;=AL$9+6,$E38&gt;=AL$9),IF($G38="Milestone","M",1),"")</x:f>
      </x:c>
      <x:c r="AM38" s="30" t="str">
        <x:f t="shared" si="11">IF(AND(OR($I38="OK",$I38="Outside view"),$D38&lt;=AM$9+6,$E38&gt;=AM$9),IF($G38="Milestone","M",1),"")</x:f>
      </x:c>
      <x:c r="AN38" s="30" t="str">
        <x:f t="shared" si="11">IF(AND(OR($I38="OK",$I38="Outside view"),$D38&lt;=AN$9+6,$E38&gt;=AN$9),IF($G38="Milestone","M",1),"")</x:f>
      </x:c>
      <x:c r="AO38" s="30" t="str">
        <x:f t="shared" si="11">IF(AND(OR($I38="OK",$I38="Outside view"),$D38&lt;=AO$9+6,$E38&gt;=AO$9),IF($G38="Milestone","M",1),"")</x:f>
      </x:c>
      <x:c r="AP38" s="30" t="str">
        <x:f t="shared" si="11">IF(AND(OR($I38="OK",$I38="Outside view"),$D38&lt;=AP$9+6,$E38&gt;=AP$9),IF($G38="Milestone","M",1),"")</x:f>
      </x:c>
      <x:c r="AQ38" s="30" t="str">
        <x:f t="shared" si="11">IF(AND(OR($I38="OK",$I38="Outside view"),$D38&lt;=AQ$9+6,$E38&gt;=AQ$9),IF($G38="Milestone","M",1),"")</x:f>
        <x:v>M</x:v>
      </x:c>
    </x:row>
    <x:row r="39" ht="34.04999923706055" customHeight="1">
      <x:c r="A39"/>
      <x:c r="B39"/>
      <x:c r="C39"/>
      <x:c r="D39"/>
      <x:c r="E39"/>
      <x:c r="F39">
        <x:f t="shared" si="1"/>
      </x:c>
      <x:c r="G39"/>
      <x:c r="H39"/>
      <x:c r="I39">
        <x:f t="shared" si="2"/>
      </x:c>
      <x:c r="J39">
        <x:f t="shared" si="9"/>
      </x:c>
      <x:c r="K39">
        <x:f t="shared" si="9"/>
      </x:c>
      <x:c r="L39">
        <x:f t="shared" si="9"/>
      </x:c>
      <x:c r="M39">
        <x:f t="shared" si="9"/>
      </x:c>
      <x:c r="N39">
        <x:f t="shared" si="9"/>
      </x:c>
      <x:c r="O39">
        <x:f t="shared" si="9"/>
      </x:c>
      <x:c r="P39">
        <x:f t="shared" si="9"/>
      </x:c>
      <x:c r="Q39">
        <x:f t="shared" si="9"/>
      </x:c>
      <x:c r="R39">
        <x:f t="shared" si="9"/>
      </x:c>
      <x:c r="S39">
        <x:f t="shared" si="9"/>
      </x:c>
      <x:c r="T39">
        <x:f t="shared" si="10"/>
      </x:c>
      <x:c r="U39">
        <x:f t="shared" si="10"/>
      </x:c>
      <x:c r="V39">
        <x:f t="shared" si="10"/>
      </x:c>
      <x:c r="W39">
        <x:f t="shared" si="10"/>
      </x:c>
      <x:c r="X39">
        <x:f t="shared" si="10"/>
      </x:c>
      <x:c r="Y39">
        <x:f t="shared" si="10"/>
      </x:c>
      <x:c r="Z39">
        <x:f t="shared" si="10"/>
      </x:c>
      <x:c r="AA39">
        <x:f t="shared" si="10"/>
      </x:c>
      <x:c r="AB39">
        <x:f t="shared" si="10"/>
      </x:c>
      <x:c r="AC39">
        <x:f t="shared" si="10"/>
      </x:c>
      <x:c r="AD39">
        <x:f t="shared" si="11"/>
      </x:c>
      <x:c r="AE39">
        <x:f t="shared" si="11"/>
      </x:c>
      <x:c r="AF39">
        <x:f t="shared" si="11"/>
      </x:c>
      <x:c r="AG39">
        <x:f t="shared" si="11"/>
      </x:c>
      <x:c r="AH39">
        <x:f t="shared" si="11"/>
      </x:c>
      <x:c r="AI39">
        <x:f t="shared" si="11"/>
      </x:c>
      <x:c r="AJ39">
        <x:f t="shared" si="11"/>
      </x:c>
      <x:c r="AK39">
        <x:f t="shared" si="11"/>
      </x:c>
      <x:c r="AL39">
        <x:f t="shared" si="11"/>
      </x:c>
      <x:c r="AM39">
        <x:f t="shared" si="11"/>
      </x:c>
      <x:c r="AN39">
        <x:f t="shared" si="11"/>
      </x:c>
      <x:c r="AO39">
        <x:f t="shared" si="11"/>
      </x:c>
      <x:c r="AP39">
        <x:f t="shared" si="11"/>
      </x:c>
      <x:c r="AQ39">
        <x:f t="shared" si="11"/>
      </x:c>
    </x:row>
    <x:row r="40" ht="25.04999923706054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</x:row>
    <x:row r="41" ht="25.049999237060547" customHeight="1">
      <x:c r="A41" s="31" t="s">
        <x:v>15</x:v>
      </x:c>
      <x:c r="B41" s="1"/>
      <x:c r="C41" s="1" t="s">
        <x:v>16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</x:row>
    <x:row r="42" ht="25.049999237060547" customHeight="1">
      <x:c r="A42" s="31" t="s">
        <x:v>17</x:v>
      </x:c>
      <x:c r="B42" s="1"/>
      <x:c r="C42" s="1" t="str">
        <x:v>Detailed dates are estimates. Stakeholder requirements were gathered early; September 14–25 is a planning allocation. Confirm final report dates.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</x:row>
    <x:row r="43" ht="25.049999237060547" customHeight="1">
      <x:c r="A43" s="31" t="s">
        <x:v>18</x:v>
      </x:c>
      <x:c r="B43" s="1"/>
      <x:c r="C43" s="1" t="s">
        <x:v>19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</x:row>
    <x:row r="44" ht="25.049999237060547" customHeight="1">
      <x:c r="A44" s="31" t="s">
        <x:v>20</x:v>
      </x:c>
      <x:c r="B44" s="1"/>
      <x:c r="C44" s="1" t="str">
        <x:v>Backend, database and login start with mock plate results; they do not wait for the partner model. Model training still depends on model delivery and data.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</x:row>
    <x:row r="45" ht="25.049999237060547" customHeight="1">
      <x:c r="A45" s="31" t="s">
        <x:v>21</x:v>
      </x:c>
      <x:c r="B45" s="1"/>
      <x:c r="C45" s="1" t="s">
        <x:v>22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</x:row>
    <x:row r="46" ht="25.049999237060547" customHeight="1">
      <x:c r="A46" s="31" t="s">
        <x:v>23</x:v>
      </x:c>
      <x:c r="B46" s="1"/>
      <x:c r="C46" s="1" t="s">
        <x:v>24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</x:row>
    <x:row r="47" ht="25.049999237060547" customHeight="1">
      <x:c r="A47" s="31" t="s">
        <x:v>13</x:v>
      </x:c>
      <x:c r="B47" s="1"/>
      <x:c r="C47" s="1" t="s">
        <x:v>25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</x:row>
    <x:row r="48" ht="25.049999237060547" customHeight="1">
      <x:c r="A48" s="31" t="s">
        <x:v>26</x:v>
      </x:c>
      <x:c r="B48" s="1"/>
      <x:c r="C48" s="1" t="s">
        <x:v>27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</x:row>
    <x:row r="49" ht="25.049999237060547" customHeight="1">
      <x:c r="A49" s="31" t="s">
        <x:v>28</x:v>
      </x:c>
      <x:c r="B49" s="1"/>
      <x:c r="C49" s="1" t="s">
        <x:v>29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</x:row>
    <x:row r="50" ht="25.049999237060547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</x:row>
  </x:sheetData>
  <x:conditionalFormatting sqref="I10:I39">
    <x:cfRule type="expression" dxfId="2" priority="3">
      <x:formula>I10&lt;&gt;"OK"</x:formula>
    </x:cfRule>
  </x:conditionalFormatting>
  <x:conditionalFormatting sqref="J10:AQ39">
    <x:cfRule type="cellIs" dxfId="1" priority="1" operator="equal">
      <x:formula>1</x:formula>
    </x:cfRule>
    <x:cfRule type="containsText" dxfId="0" priority="2" operator="containsText" text="M"/>
  </x:conditionalFormatting>
  <x:conditionalFormatting sqref="J7:AQ7">
    <x:cfRule type="containsText" dxfId="3" priority="4" operator="containsText" text="NOW"/>
  </x:conditionalFormatting>
  <x:conditionalFormatting sqref="J9:AQ38">
    <x:cfRule type="expression" dxfId="4" priority="5">
      <x:formula>AND($D$7&gt;=J$9,$D$7&lt;J$9+7)</x:formula>
    </x:cfRule>
  </x:conditionalFormatting>
  <x:conditionalFormatting sqref="J9:AQ9">
    <x:cfRule type="expression" dxfId="5" priority="6">
      <x:formula>AND($D$7&gt;=J$9,$D$7&lt;J$9+7)</x:formula>
    </x:cfRule>
  </x:conditionalFormatting>
  <x:dataValidations count="2">
    <x:dataValidation type="list" sqref="G10:G39">
      <x:formula1>"Task,Milestone"</x:formula1>
    </x:dataValidation>
    <x:dataValidation type="decimal" sqref="H10:H39">
      <x:formula1>0</x:formula1>
      <x:formula2>1</x:formula2>
    </x:dataValidation>
  </x:dataValidations>
  <x:pageMargins left="0.7" right="0.7" top="0.75" bottom="0.75" header="0.3" footer="0.3"/>
</x:worksheet>
</file>